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ebb9f0fecd849b6" /></Relationships>
</file>

<file path=xl/workbook.xml><?xml version="1.0" encoding="utf-8"?>
<x:workbook xmlns:x="http://schemas.openxmlformats.org/spreadsheetml/2006/main">
  <x:sheets>
    <x:sheet xmlns:r="http://schemas.openxmlformats.org/officeDocument/2006/relationships" name="Selected 30" sheetId="1" r:id="Rc0795388d4994af1"/>
    <x:sheet xmlns:r="http://schemas.openxmlformats.org/officeDocument/2006/relationships" name="Sampling method" sheetId="2" r:id="Re3662dad9ffb4a4f"/>
    <x:sheet xmlns:r="http://schemas.openxmlformats.org/officeDocument/2006/relationships" name="Pilot 10" sheetId="3" r:id="R61495ce01014488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sz val="10"/>
      <x:color rgb="FF1F1F1F"/>
      <x:name val="Arial"/>
    </x:font>
    <x:font>
      <x:b/>
      <x:sz val="14"/>
      <x:color rgb="FF17365D"/>
      <x:name val="Arial"/>
    </x:font>
    <x:font>
      <x:i/>
      <x:sz val="10"/>
      <x:color rgb="FF666666"/>
      <x:name val="Arial"/>
    </x:font>
    <x:font>
      <x:b/>
      <x:sz val="10"/>
      <x:color rgb="FFFFFFFF"/>
      <x:name val="Arial"/>
    </x:font>
    <x:font>
      <x:b/>
      <x:sz val="10"/>
      <x:color rgb="FF17365D"/>
      <x:name val="Arial"/>
    </x:font>
    <x:font>
      <x:b/>
      <x:sz val="10"/>
      <x:color rgb="FF1F4E78"/>
      <x:name val="Arial"/>
    </x:font>
    <x:font>
      <x:i/>
      <x:sz val="10"/>
      <x:color rgb="FF404040"/>
      <x:name val="Arial"/>
    </x:font>
  </x:fonts>
  <x:fills count="9">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BF9000"/>
      </x:patternFill>
    </x:fill>
    <x:fill>
      <x:patternFill patternType="solid">
        <x:fgColor rgb="FFFFF2CC"/>
      </x:patternFill>
    </x:fill>
    <x:fill>
      <x:patternFill patternType="solid">
        <x:fgColor rgb="FFE7E6E6"/>
      </x:patternFill>
    </x:fill>
    <x:fill>
      <x:patternFill patternType="solid">
        <x:fgColor rgb="FF595959"/>
      </x:patternFill>
    </x:fill>
    <x:fill>
      <x:patternFill patternType="solid">
        <x:fgColor rgb="FFEDF4FA"/>
      </x:patternFill>
    </x:fill>
  </x:fills>
  <x:borders count="15">
    <x:border/>
    <x:border>
      <x:bottom style="thin">
        <x:color rgb="FF9EADBA"/>
      </x:bottom>
    </x:border>
    <x:border>
      <x:left style="thin">
        <x:color rgb="FFFFFFFF"/>
      </x:left>
      <x:right style="thin">
        <x:color rgb="FFFFFFFF"/>
      </x:right>
      <x:top style="thin">
        <x:color rgb="FFFFFFFF"/>
      </x:top>
      <x:bottom style="thin">
        <x:color rgb="FFFFFFFF"/>
      </x:bottom>
    </x:border>
    <x:border>
      <x:left style="thin">
        <x:color rgb="FFB4C6D7"/>
      </x:left>
      <x:right style="thin">
        <x:color rgb="FFFFFFFF"/>
      </x:right>
      <x:top style="thin">
        <x:color rgb="FFB4C6D7"/>
      </x:top>
      <x:bottom style="thin">
        <x:color rgb="FFFFFFFF"/>
      </x:bottom>
    </x:border>
    <x:border>
      <x:left style="thin">
        <x:color rgb="FFFFFFFF"/>
      </x:left>
      <x:right style="thin">
        <x:color rgb="FFB4C6D7"/>
      </x:right>
      <x:top style="thin">
        <x:color rgb="FFB4C6D7"/>
      </x:top>
      <x:bottom style="thin">
        <x:color rgb="FFFFFFFF"/>
      </x:bottom>
    </x:border>
    <x:border>
      <x:left style="thin">
        <x:color rgb="FFB4C6D7"/>
      </x:left>
    </x:border>
    <x:border>
      <x:right style="thin">
        <x:color rgb="FFB4C6D7"/>
      </x:right>
    </x:border>
    <x:border>
      <x:left style="thin">
        <x:color rgb="FFB4C6D7"/>
      </x:left>
      <x:bottom style="thin">
        <x:color rgb="FFB4C6D7"/>
      </x:bottom>
    </x:border>
    <x:border>
      <x:right style="thin">
        <x:color rgb="FFB4C6D7"/>
      </x:right>
      <x:bottom style="thin">
        <x:color rgb="FFB4C6D7"/>
      </x:bottom>
    </x:border>
    <x:border>
      <x:left style="thin">
        <x:color rgb="FFC9B458"/>
      </x:left>
      <x:top style="thin">
        <x:color rgb="FFC9B458"/>
      </x:top>
    </x:border>
    <x:border>
      <x:right style="thin">
        <x:color rgb="FFC9B458"/>
      </x:right>
      <x:top style="thin">
        <x:color rgb="FFC9B458"/>
      </x:top>
    </x:border>
    <x:border>
      <x:left style="thin">
        <x:color rgb="FFC9B458"/>
      </x:left>
    </x:border>
    <x:border>
      <x:right style="thin">
        <x:color rgb="FFC9B458"/>
      </x:right>
    </x:border>
    <x:border>
      <x:left style="thin">
        <x:color rgb="FFC9B458"/>
      </x:left>
      <x:bottom style="thin">
        <x:color rgb="FFC9B458"/>
      </x:bottom>
    </x:border>
    <x:border>
      <x:right style="thin">
        <x:color rgb="FFC9B458"/>
      </x:right>
      <x:bottom style="thin">
        <x:color rgb="FFC9B458"/>
      </x:bottom>
    </x:border>
  </x:borders>
  <x:cellStyleXfs count="1">
    <x:xf numFmtId="0" fontId="0" fillId="0" borderId="0"/>
  </x:cellStyleXfs>
  <x:cellXfs count="73">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1"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0" fontId="4" fillId="2" borderId="2" xfId="0" applyNumberFormat="1" applyFont="1" applyFill="1" applyBorder="1" applyAlignment="1">
      <x:alignment horizontal="center"/>
    </x:xf>
    <x:xf numFmtId="0" fontId="4" fillId="2" borderId="2" xfId="0" applyNumberFormat="1" applyFont="1" applyFill="1" applyBorder="1" applyAlignment="1">
      <x:alignment horizontal="center" vertical="center"/>
    </x:xf>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horizontal="center"/>
    </x:xf>
    <x:xf numFmtId="0" fontId="1" fillId="0" borderId="0" xfId="0" applyNumberFormat="1" applyFont="1" applyFill="1" applyBorder="1" applyAlignment="1">
      <x:alignment horizontal="center" vertical="center"/>
    </x:xf>
    <x:xf numFmtId="0" fontId="1" fillId="0" borderId="0" xfId="0" applyNumberFormat="1" applyFont="1" applyFill="1" applyBorder="1" applyAlignment="1">
      <x:alignment vertical="top" wrapText="0"/>
    </x:xf>
    <x:xf numFmtId="200" fontId="1" fillId="0" borderId="0" xfId="0" applyNumberFormat="1" applyFont="1" applyFill="1" applyBorder="1" applyAlignment="1">
      <x:alignment vertical="center"/>
    </x:xf>
    <x:xf numFmtId="200" fontId="1" fillId="0" borderId="0" xfId="0" applyNumberFormat="1" applyFont="1" applyFill="1" applyBorder="1" applyAlignment="1">
      <x:alignment horizontal="center" vertical="center"/>
    </x:xf>
    <x:xf numFmtId="0" fontId="5" fillId="0" borderId="0" xfId="0" applyNumberFormat="1" applyFont="1" applyFill="1" applyBorder="1"/>
    <x:xf numFmtId="0" fontId="1" fillId="0" borderId="0" xfId="0" applyNumberFormat="1" applyFont="1" applyFill="1" applyBorder="1" applyAlignment="1">
      <x:alignment wrapText="1"/>
    </x:xf>
    <x:xf numFmtId="0" fontId="4" fillId="2" borderId="3" xfId="0" applyNumberFormat="1" applyFont="1" applyFill="1" applyBorder="1" applyAlignment="1">
      <x:alignment horizontal="center" vertical="center"/>
    </x:xf>
    <x:xf numFmtId="0" fontId="4" fillId="2" borderId="4" xfId="0" applyNumberFormat="1" applyFont="1" applyFill="1" applyBorder="1" applyAlignment="1">
      <x:alignment horizontal="center" vertical="center"/>
    </x:xf>
    <x:xf numFmtId="0" fontId="5" fillId="0" borderId="5" xfId="0" applyNumberFormat="1" applyFont="1" applyFill="1" applyBorder="1"/>
    <x:xf numFmtId="0" fontId="1" fillId="0" borderId="6" xfId="0" applyNumberFormat="1" applyFont="1" applyFill="1" applyBorder="1" applyAlignment="1">
      <x:alignment wrapText="1"/>
    </x:xf>
    <x:xf numFmtId="0" fontId="5" fillId="0" borderId="7" xfId="0" applyNumberFormat="1" applyFont="1" applyFill="1" applyBorder="1"/>
    <x:xf numFmtId="0" fontId="1" fillId="0" borderId="8" xfId="0" applyNumberFormat="1" applyFont="1" applyFill="1" applyBorder="1" applyAlignment="1">
      <x:alignment wrapText="1"/>
    </x:xf>
    <x:xf numFmtId="200" fontId="1" fillId="0" borderId="0" xfId="0" applyNumberFormat="1" applyFont="1" applyFill="1" applyBorder="1" applyAlignment="1">
      <x:alignment horizontal="center"/>
    </x:xf>
    <x:xf numFmtId="0" fontId="1" fillId="3" borderId="0" xfId="0" applyNumberFormat="1" applyFont="1" applyFill="1" applyBorder="1"/>
    <x:xf numFmtId="0" fontId="4" fillId="3" borderId="0" xfId="0" applyNumberFormat="1" applyFont="1" applyFill="1" applyBorder="1"/>
    <x:xf numFmtId="0" fontId="4" fillId="3" borderId="2" xfId="0" applyNumberFormat="1" applyFont="1" applyFill="1" applyBorder="1"/>
    <x:xf numFmtId="0" fontId="4" fillId="3" borderId="2" xfId="0" applyNumberFormat="1" applyFont="1" applyFill="1" applyBorder="1" applyAlignment="1">
      <x:alignment horizontal="center"/>
    </x:xf>
    <x:xf numFmtId="0" fontId="4" fillId="3" borderId="2" xfId="0" applyNumberFormat="1" applyFont="1" applyFill="1" applyBorder="1" applyAlignment="1">
      <x:alignment horizontal="center" vertical="center"/>
    </x:xf>
    <x:xf numFmtId="0" fontId="6" fillId="0" borderId="0" xfId="0" applyNumberFormat="1" applyFont="1" applyFill="1" applyBorder="1"/>
    <x:xf numFmtId="0" fontId="4" fillId="3" borderId="3" xfId="0" applyNumberFormat="1" applyFont="1" applyFill="1" applyBorder="1" applyAlignment="1">
      <x:alignment horizontal="center" vertical="center"/>
    </x:xf>
    <x:xf numFmtId="0" fontId="4" fillId="3" borderId="4" xfId="0" applyNumberFormat="1" applyFont="1" applyFill="1" applyBorder="1" applyAlignment="1">
      <x:alignment horizontal="center" vertical="center"/>
    </x:xf>
    <x:xf numFmtId="0" fontId="6" fillId="0" borderId="5" xfId="0" applyNumberFormat="1" applyFont="1" applyFill="1" applyBorder="1"/>
    <x:xf numFmtId="0" fontId="6" fillId="0" borderId="7" xfId="0" applyNumberFormat="1" applyFont="1" applyFill="1" applyBorder="1"/>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1" fillId="5" borderId="0" xfId="0" applyNumberFormat="1" applyFont="1" applyFill="1" applyBorder="1"/>
    <x:xf numFmtId="0" fontId="1" fillId="5" borderId="0" xfId="0" applyNumberFormat="1" applyFont="1" applyFill="1" applyBorder="1" applyAlignment="1">
      <x:alignment wrapText="1"/>
    </x:xf>
    <x:xf numFmtId="0" fontId="4" fillId="4" borderId="9" xfId="0" applyNumberFormat="1" applyFont="1" applyFill="1" applyBorder="1" applyAlignment="1">
      <x:alignment horizontal="center" vertical="center"/>
    </x:xf>
    <x:xf numFmtId="0" fontId="4" fillId="4" borderId="10" xfId="0" applyNumberFormat="1" applyFont="1" applyFill="1" applyBorder="1" applyAlignment="1">
      <x:alignment horizontal="center" vertical="center"/>
    </x:xf>
    <x:xf numFmtId="0" fontId="1" fillId="5" borderId="11" xfId="0" applyNumberFormat="1" applyFont="1" applyFill="1" applyBorder="1" applyAlignment="1">
      <x:alignment wrapText="1"/>
    </x:xf>
    <x:xf numFmtId="0" fontId="1" fillId="5" borderId="12" xfId="0" applyNumberFormat="1" applyFont="1" applyFill="1" applyBorder="1" applyAlignment="1">
      <x:alignment wrapText="1"/>
    </x:xf>
    <x:xf numFmtId="0" fontId="1" fillId="5" borderId="13" xfId="0" applyNumberFormat="1" applyFont="1" applyFill="1" applyBorder="1" applyAlignment="1">
      <x:alignment wrapText="1"/>
    </x:xf>
    <x:xf numFmtId="0" fontId="1" fillId="5" borderId="14" xfId="0" applyNumberFormat="1" applyFont="1" applyFill="1" applyBorder="1" applyAlignment="1">
      <x:alignment wrapText="1"/>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5" fillId="0" borderId="5" xfId="0" applyNumberFormat="1" applyFont="1" applyFill="1" applyBorder="1" applyAlignment="1">
      <x:alignment vertical="center"/>
    </x:xf>
    <x:xf numFmtId="0" fontId="1" fillId="0" borderId="6" xfId="0" applyNumberFormat="1" applyFont="1" applyFill="1" applyBorder="1" applyAlignment="1">
      <x:alignment vertical="center" wrapText="1"/>
    </x:xf>
    <x:xf numFmtId="0" fontId="5" fillId="0" borderId="7" xfId="0" applyNumberFormat="1" applyFont="1" applyFill="1" applyBorder="1" applyAlignment="1">
      <x:alignment vertical="center"/>
    </x:xf>
    <x:xf numFmtId="0" fontId="1" fillId="0" borderId="8" xfId="0" applyNumberFormat="1" applyFont="1" applyFill="1" applyBorder="1" applyAlignment="1">
      <x:alignment vertical="center" wrapText="1"/>
    </x:xf>
    <x:xf numFmtId="0" fontId="6" fillId="0" borderId="5" xfId="0" applyNumberFormat="1" applyFont="1" applyFill="1" applyBorder="1" applyAlignment="1">
      <x:alignment vertical="center"/>
    </x:xf>
    <x:xf numFmtId="0" fontId="6" fillId="0" borderId="7" xfId="0" applyNumberFormat="1" applyFont="1" applyFill="1" applyBorder="1" applyAlignment="1">
      <x:alignment vertical="center"/>
    </x:xf>
    <x:xf numFmtId="0" fontId="1" fillId="5" borderId="11" xfId="0" applyNumberFormat="1" applyFont="1" applyFill="1" applyBorder="1" applyAlignment="1">
      <x:alignment vertical="center" wrapText="1"/>
    </x:xf>
    <x:xf numFmtId="0" fontId="1" fillId="5" borderId="12" xfId="0" applyNumberFormat="1" applyFont="1" applyFill="1" applyBorder="1" applyAlignment="1">
      <x:alignment vertical="center" wrapText="1"/>
    </x:xf>
    <x:xf numFmtId="0" fontId="1" fillId="5" borderId="13" xfId="0" applyNumberFormat="1" applyFont="1" applyFill="1" applyBorder="1" applyAlignment="1">
      <x:alignment vertical="center" wrapText="1"/>
    </x:xf>
    <x:xf numFmtId="0" fontId="1" fillId="5" borderId="14" xfId="0" applyNumberFormat="1" applyFont="1" applyFill="1" applyBorder="1" applyAlignment="1">
      <x:alignment vertical="center" wrapText="1"/>
    </x:xf>
    <x:xf numFmtId="0" fontId="1"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1" fillId="7" borderId="0" xfId="0" applyNumberFormat="1" applyFont="1" applyFill="1" applyBorder="1"/>
    <x:xf numFmtId="0" fontId="4" fillId="7" borderId="0" xfId="0" applyNumberFormat="1" applyFont="1" applyFill="1" applyBorder="1"/>
    <x:xf numFmtId="0" fontId="4" fillId="7" borderId="2" xfId="0" applyNumberFormat="1" applyFont="1" applyFill="1" applyBorder="1"/>
    <x:xf numFmtId="0" fontId="4" fillId="7" borderId="2" xfId="0" applyNumberFormat="1" applyFont="1" applyFill="1" applyBorder="1" applyAlignment="1">
      <x:alignment horizontal="center"/>
    </x:xf>
    <x:xf numFmtId="0" fontId="4" fillId="7" borderId="2" xfId="0" applyNumberFormat="1" applyFont="1" applyFill="1" applyBorder="1" applyAlignment="1">
      <x:alignment horizontal="center" vertical="center"/>
    </x:xf>
    <x:xf numFmtId="0" fontId="1"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horizontal="center"/>
    </x:xf>
    <x:xf numFmtId="0" fontId="5" fillId="8" borderId="0" xfId="0" applyNumberFormat="1" applyFont="1" applyFill="1" applyBorder="1" applyAlignment="1">
      <x:alignment horizontal="center" vertical="center"/>
    </x:xf>
  </x:cellXfs>
  <x:cellStyles count="1">
    <x:cellStyle name="Normal" xfId="0"/>
  </x:cellStyles>
  <x:dxfs count="1">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6e94415b66843a7" /><Relationship Type="http://schemas.openxmlformats.org/officeDocument/2006/relationships/theme" Target="/xl/theme/theme1.xml" Id="R30092ad6e0bd46c6" /><Relationship Type="http://schemas.openxmlformats.org/officeDocument/2006/relationships/sharedStrings" Target="/xl/sharedStrings.xml" Id="Rf9908519f37b42d4" /><Relationship Type="http://schemas.openxmlformats.org/officeDocument/2006/relationships/worksheet" Target="/xl/worksheets/sheet1.xml" Id="Rc0795388d4994af1" /><Relationship Type="http://schemas.openxmlformats.org/officeDocument/2006/relationships/worksheet" Target="/xl/worksheets/sheet2.xml" Id="Re3662dad9ffb4a4f" /><Relationship Type="http://schemas.openxmlformats.org/officeDocument/2006/relationships/worksheet" Target="/xl/worksheets/sheet3.xml" Id="R61495ce01014488d" /></Relationships>
</file>

<file path=xl/tables/table1.xml><?xml version="1.0" encoding="utf-8"?>
<x:table xmlns:x="http://schemas.openxmlformats.org/spreadsheetml/2006/main" id="1" name="SelectedPapersTable" displayName="SelectedPapersTable" ref="A6:N36" headerRowCount="1" totalsRowCount="0" totalsRowShown="0">
  <x:autoFilter ref="A6:N36"/>
  <x:tableColumns count="14">
    <x:tableColumn id="1" name="sample_order"/>
    <x:tableColumn id="2" name="topic_family"/>
    <x:tableColumn id="3" name="within_stratum_rank"/>
    <x:tableColumn id="4" name="paper_id"/>
    <x:tableColumn id="5" name="title"/>
    <x:tableColumn id="6" name="authors"/>
    <x:tableColumn id="7" name="abstract"/>
    <x:tableColumn id="8" name="abstract_words"/>
    <x:tableColumn id="9" name="author_count"/>
    <x:tableColumn id="10" name="topic_score"/>
    <x:tableColumn id="11" name="matched_keywords"/>
    <x:tableColumn id="12" name="paper_url"/>
    <x:tableColumn id="13" name="pdf_url"/>
    <x:tableColumn id="14" name="random_key_sha256"/>
  </x:tableColumns>
  <x:tableStyleInfo name="TableStyleMedium2" showFirstColumn="0" showLastColumn="0" showRowStripes="1" showColumnStripes="0"/>
</x:table>
</file>

<file path=xl/tables/table2.xml><?xml version="1.0" encoding="utf-8"?>
<x:table xmlns:x="http://schemas.openxmlformats.org/spreadsheetml/2006/main" id="2" name="StrataSummaryTable" displayName="StrataSummaryTable" ref="A16:F22" headerRowCount="1" totalsRowCount="0" totalsRowShown="0">
  <x:tableColumns count="6">
    <x:tableColumn id="1" name="Topic stratum"/>
    <x:tableColumn id="2" name="Pilot excluded"/>
    <x:tableColumn id="3" name="Eligible pool"/>
    <x:tableColumn id="4" name="Target"/>
    <x:tableColumn id="5" name="Selected"/>
    <x:tableColumn id="6" name="Difference"/>
  </x:tableColumns>
  <x:tableStyleInfo name="TableStyleMedium2" showFirstColumn="0" showLastColumn="0" showRowStripes="1" showColumnStripes="0"/>
</x:table>
</file>

<file path=xl/tables/table3.xml><?xml version="1.0" encoding="utf-8"?>
<x:table xmlns:x="http://schemas.openxmlformats.org/spreadsheetml/2006/main" id="3" name="PilotPapersTable" displayName="PilotPapersTable" ref="A6:I16" headerRowCount="1" totalsRowCount="0" totalsRowShown="0">
  <x:tableColumns count="9">
    <x:tableColumn id="1" name="pilot_order"/>
    <x:tableColumn id="2" name="paper_id"/>
    <x:tableColumn id="3" name="topic_family"/>
    <x:tableColumn id="4" name="title"/>
    <x:tableColumn id="5" name="authors"/>
    <x:tableColumn id="6" name="abstract"/>
    <x:tableColumn id="7" name="paper_url"/>
    <x:tableColumn id="8" name="pdf_url"/>
    <x:tableColumn id="9" name="use_in_study"/>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9a24d499d154dd7" /></Relationships>
</file>

<file path=xl/worksheets/_rels/sheet2.xml.rels>&#65279;<?xml version="1.0" encoding="utf-8"?><Relationships xmlns="http://schemas.openxmlformats.org/package/2006/relationships"><Relationship Type="http://schemas.openxmlformats.org/officeDocument/2006/relationships/table" Target="/xl/tables/table2.xml" Id="Rb8d2ac61252f4c29" /></Relationships>
</file>

<file path=xl/worksheets/_rels/sheet3.xml.rels>&#65279;<?xml version="1.0" encoding="utf-8"?><Relationships xmlns="http://schemas.openxmlformats.org/package/2006/relationships"><Relationship Type="http://schemas.openxmlformats.org/officeDocument/2006/relationships/table" Target="/xl/tables/table3.xml" Id="Raa669f72106640fd" /></Relationships>
</file>

<file path=xl/worksheets/sheet1.xml><?xml version="1.0" encoding="utf-8"?>
<x:worksheet xmlns:x="http://schemas.openxmlformats.org/spreadsheetml/2006/main">
  <x:sheetPr>
    <x:tabColor rgb="FF17365D"/>
  </x:sheetPr>
  <x:sheetViews>
    <x:sheetView showGridLines="0" workbookViewId="0">
      <x:pane xSplit="4" ySplit="6" topLeftCell="E7" activePane="bottomRight" state="frozen"/>
    </x:sheetView>
  </x:sheetViews>
  <x:sheetFormatPr defaultRowHeight="15"/>
  <x:cols>
    <x:col min="1" max="1" width="10" hidden="0" customWidth="1"/>
    <x:col min="2" max="2" width="34" hidden="0" customWidth="1"/>
    <x:col min="3" max="3" width="18" hidden="0" customWidth="1"/>
    <x:col min="4" max="4" width="24" hidden="0" customWidth="1"/>
    <x:col min="5" max="5" width="52" hidden="0" customWidth="1"/>
    <x:col min="6" max="6" width="38" hidden="0" customWidth="1"/>
    <x:col min="7" max="7" width="72" hidden="0" customWidth="1"/>
    <x:col min="8" max="8" width="16" hidden="0" customWidth="1"/>
    <x:col min="9" max="9" width="14" hidden="0" customWidth="1"/>
    <x:col min="10" max="10" width="12" hidden="0" customWidth="1"/>
    <x:col min="11" max="11" width="30" hidden="0" customWidth="1"/>
    <x:col min="12" max="12" width="34" hidden="0" customWidth="1"/>
    <x:col min="13" max="13" width="34" hidden="0" customWidth="1"/>
    <x:col min="14" max="14" width="30" hidden="0" customWidth="1"/>
  </x:cols>
  <x:sheetData>
    <x:row r="1">
      <x:c r="A1" s="1"/>
      <x:c r="B1" s="1"/>
      <x:c r="C1" s="1"/>
      <x:c r="D1" s="1"/>
      <x:c r="E1" s="1"/>
      <x:c r="F1" s="1"/>
      <x:c r="G1" s="1"/>
      <x:c r="H1" s="1"/>
      <x:c r="I1" s="1"/>
      <x:c r="J1" s="1"/>
      <x:c r="K1" s="1"/>
      <x:c r="L1" s="1"/>
      <x:c r="M1" s="1"/>
      <x:c r="N1" s="1"/>
      <x:c r="O1" s="1"/>
      <x:c r="P1" s="1"/>
      <x:c r="Q1" s="1"/>
    </x:row>
    <x:row r="2">
      <x:c r="A2" s="2" t="str">
        <x:v>EMNLP 2025 stratified sample: 30 held-out papers</x:v>
      </x:c>
      <x:c r="B2" s="1"/>
      <x:c r="C2" s="1"/>
      <x:c r="D2" s="1"/>
      <x:c r="E2" s="1"/>
      <x:c r="F2" s="1"/>
      <x:c r="G2" s="1"/>
      <x:c r="H2" s="1"/>
      <x:c r="I2" s="1"/>
      <x:c r="J2" s="1"/>
      <x:c r="K2" s="1"/>
      <x:c r="L2" s="1"/>
      <x:c r="M2" s="1"/>
      <x:c r="N2" s="1"/>
      <x:c r="O2" s="1"/>
      <x:c r="P2" s="1"/>
      <x:c r="Q2" s="1"/>
    </x:row>
    <x:row r="3">
      <x:c r="A3" s="3"/>
      <x:c r="B3" s="3"/>
      <x:c r="C3" s="3"/>
      <x:c r="D3" s="3"/>
      <x:c r="E3" s="3"/>
      <x:c r="F3" s="3"/>
      <x:c r="G3" s="3"/>
      <x:c r="H3" s="3"/>
      <x:c r="I3" s="3"/>
      <x:c r="J3" s="3"/>
      <x:c r="K3" s="3"/>
      <x:c r="L3" s="3"/>
      <x:c r="M3" s="3"/>
      <x:c r="N3" s="3"/>
      <x:c r="O3" s="1"/>
      <x:c r="P3" s="1"/>
      <x:c r="Q3" s="1"/>
    </x:row>
    <x:row r="4">
      <x:c r="A4" s="4" t="str">
        <x:v>Five papers per topic stratum. The original 10 papers are excluded and retained as a pilot set.</x:v>
      </x:c>
      <x:c r="B4" s="1"/>
      <x:c r="C4" s="1"/>
      <x:c r="D4" s="1"/>
      <x:c r="E4" s="1"/>
      <x:c r="F4" s="1"/>
      <x:c r="G4" s="1"/>
      <x:c r="H4" s="1"/>
      <x:c r="I4" s="1"/>
      <x:c r="J4" s="1"/>
      <x:c r="K4" s="1"/>
      <x:c r="L4" s="1"/>
      <x:c r="M4" s="1"/>
      <x:c r="N4" s="1"/>
      <x:c r="O4" s="1"/>
      <x:c r="P4" s="1"/>
      <x:c r="Q4" s="1"/>
    </x:row>
    <x:row r="5">
      <x:c r="A5" s="1"/>
      <x:c r="B5" s="1"/>
      <x:c r="C5" s="1"/>
      <x:c r="D5" s="1"/>
      <x:c r="E5" s="1"/>
      <x:c r="F5" s="1"/>
      <x:c r="G5" s="1"/>
      <x:c r="H5" s="1"/>
      <x:c r="I5" s="1"/>
      <x:c r="J5" s="1"/>
      <x:c r="K5" s="1"/>
      <x:c r="L5" s="1"/>
      <x:c r="M5" s="1"/>
      <x:c r="N5" s="1"/>
      <x:c r="O5" s="1"/>
      <x:c r="P5" s="1"/>
      <x:c r="Q5" s="1"/>
    </x:row>
    <x:row r="6" ht="30" customHeight="1">
      <x:c r="A6" s="9" t="str">
        <x:v>sample_order</x:v>
      </x:c>
      <x:c r="B6" s="9" t="str">
        <x:v>topic_family</x:v>
      </x:c>
      <x:c r="C6" s="9" t="str">
        <x:v>within_stratum_rank</x:v>
      </x:c>
      <x:c r="D6" s="9" t="str">
        <x:v>paper_id</x:v>
      </x:c>
      <x:c r="E6" s="9" t="str">
        <x:v>title</x:v>
      </x:c>
      <x:c r="F6" s="9" t="str">
        <x:v>authors</x:v>
      </x:c>
      <x:c r="G6" s="9" t="str">
        <x:v>abstract</x:v>
      </x:c>
      <x:c r="H6" s="9" t="str">
        <x:v>abstract_words</x:v>
      </x:c>
      <x:c r="I6" s="9" t="str">
        <x:v>author_count</x:v>
      </x:c>
      <x:c r="J6" s="9" t="str">
        <x:v>topic_score</x:v>
      </x:c>
      <x:c r="K6" s="9" t="str">
        <x:v>matched_keywords</x:v>
      </x:c>
      <x:c r="L6" s="9" t="str">
        <x:v>paper_url</x:v>
      </x:c>
      <x:c r="M6" s="9" t="str">
        <x:v>pdf_url</x:v>
      </x:c>
      <x:c r="N6" s="9" t="str">
        <x:v>random_key_sha256</x:v>
      </x:c>
      <x:c r="O6" s="1"/>
      <x:c r="P6" s="1"/>
      <x:c r="Q6" s="1"/>
    </x:row>
    <x:row r="7" ht="62" customHeight="1">
      <x:c r="A7" s="16" t="n">
        <x:v>1</x:v>
      </x:c>
      <x:c r="B7" s="10" t="str">
        <x:v>Interpretability &amp; representation</x:v>
      </x:c>
      <x:c r="C7" s="16" t="n">
        <x:v>1</x:v>
      </x:c>
      <x:c r="D7" s="10" t="str">
        <x:v>2025.emnlp-main.833</x:v>
      </x:c>
      <x:c r="E7" s="12" t="str">
        <x:v>Speech Vecalign: an Embedding-based Method for Aligning Parallel Speech Documents</x:v>
      </x:c>
      <x:c r="F7" s="12" t="str">
        <x:v>Chutong Meng; Philipp Koehn</x:v>
      </x:c>
      <x:c r="G7" s="12" t="str">
        <x:v>We present Speech Vecalign, a parallel speech document alignment method that monotonically aligns speech segment embeddings and does not depend on text transcriptions. Compared to the baseline method Global Mining, a variant of speech mining, Speech Vecalign produces longer speech-to-speech alignments. It also demonstrates greater robustness than Local Mining, another speech mining variant, as it produces less noise. We applied Speech Vecalign to 3,000 hours of unlabeled parallel English-German (En-De) speech documents from VoxPopuli, yielding about 1,000 hours of high-quality alignments. We then trained En-De speech-to-speech translation models on the aligned data. Speech Vecalign improves the En-to-De and De-to-En performance over Global Mining by 0.37 and 0.18 ASR-BLEU, respectively. Moreover, our models match or outperform SpeechMatrix model performance, despite using 8 times fewer raw speech documents.</x:v>
      </x:c>
      <x:c r="H7" s="17" t="n">
        <x:v>143</x:v>
      </x:c>
      <x:c r="I7" s="17" t="n">
        <x:v>2</x:v>
      </x:c>
      <x:c r="J7" s="17" t="n">
        <x:v>6</x:v>
      </x:c>
      <x:c r="K7" s="15" t="str">
        <x:v>embedding, embeddings</x:v>
      </x:c>
      <x:c r="L7" s="15" t="str">
        <x:v>https://aclanthology.org/2025.emnlp-main.833/</x:v>
      </x:c>
      <x:c r="M7" s="15" t="str">
        <x:v>https://aclanthology.org/2025.emnlp-main.833.pdf</x:v>
      </x:c>
      <x:c r="N7" s="15" t="str">
        <x:v>01f03e23e8b6e3f2662ecf3f7e23164c8c6128259264029c65fdd438f5f27efe</x:v>
      </x:c>
      <x:c r="O7" s="1"/>
      <x:c r="P7" s="1"/>
      <x:c r="Q7" s="1"/>
    </x:row>
    <x:row r="8" ht="62" customHeight="1">
      <x:c r="A8" s="16" t="n">
        <x:v>2</x:v>
      </x:c>
      <x:c r="B8" s="10" t="str">
        <x:v>Interpretability &amp; representation</x:v>
      </x:c>
      <x:c r="C8" s="16" t="n">
        <x:v>2</x:v>
      </x:c>
      <x:c r="D8" s="10" t="str">
        <x:v>2025.emnlp-main.151</x:v>
      </x:c>
      <x:c r="E8" s="12" t="str">
        <x:v>BBS core V 2: Learning Time-Evolution and Latent Alignment from Stochastic Representation</x:v>
      </x:c>
      <x:c r="F8" s="12" t="str">
        <x:v>Tianhao Zhang; Zhecheng Sheng; Zhexiao Lin; Chen Jiang; Dongyeop Kang</x:v>
      </x:c>
      <x:c r="G8" s="12" t="str">
        <x:v>Autoregressive generative models play a key role in various language tasks, especially for modeling and evaluating long text sequences. While recent methods leverage stochastic representations to better capture sequence dynamics, encoding both temporal and structural dependencies and utilizing such information for evaluation remains challenging. In this work, we observe that fitting transformer-based model embeddings into a stochastic process yields ordered latent representations from originally unordered model outputs. Building on this insight and prior work, we theoretically introduce a novel likelihood-based evaluation metric BBScoreV2. Empirically, we demonstrate that the stochastic latent space induces a “clustered-to-temporal ordered” mapping of language model representations in high-dimensional space, offering both intuitive and quantitative support for the effectiveness of BBScoreV2. Furthermore, this structure aligns with intrinsic properties of natural language and enhances performance on tasks such as temporal consistency evaluation (e.g., Shuffle tasks) and AI-generated content detection.</x:v>
      </x:c>
      <x:c r="H8" s="17" t="n">
        <x:v>148</x:v>
      </x:c>
      <x:c r="I8" s="17" t="n">
        <x:v>5</x:v>
      </x:c>
      <x:c r="J8" s="17" t="n">
        <x:v>12</x:v>
      </x:c>
      <x:c r="K8" s="15" t="str">
        <x:v>representation, representations, embeddings, latent</x:v>
      </x:c>
      <x:c r="L8" s="15" t="str">
        <x:v>https://aclanthology.org/2025.emnlp-main.151/</x:v>
      </x:c>
      <x:c r="M8" s="15" t="str">
        <x:v>https://aclanthology.org/2025.emnlp-main.151.pdf</x:v>
      </x:c>
      <x:c r="N8" s="15" t="str">
        <x:v>02176fb92a3be8b52df6425686abb37c05dd25181ff27a41dfee77eccbe3ec48</x:v>
      </x:c>
      <x:c r="O8" s="1"/>
      <x:c r="P8" s="1"/>
      <x:c r="Q8" s="1"/>
    </x:row>
    <x:row r="9" ht="62" customHeight="1">
      <x:c r="A9" s="16" t="n">
        <x:v>3</x:v>
      </x:c>
      <x:c r="B9" s="10" t="str">
        <x:v>Interpretability &amp; representation</x:v>
      </x:c>
      <x:c r="C9" s="16" t="n">
        <x:v>3</x:v>
      </x:c>
      <x:c r="D9" s="10" t="str">
        <x:v>2025.emnlp-main.1595</x:v>
      </x:c>
      <x:c r="E9" s="12" t="str">
        <x:v>Same Question, Different Words: A Latent Adversarial Framework for Prompt Robustness</x:v>
      </x:c>
      <x:c r="F9" s="12" t="str">
        <x:v>Tingchen Fu; Fazl Barez</x:v>
      </x:c>
      <x:c r="G9" s="12" t="str">
        <x:v>Insensitivity to semantically-preserving variations of prompts (paraphrases) is crucial for reliable behavior and real-world deployment of large language models. However, language models exhibit significant performance degradation with semantically equivalent but differently phrased prompts, and existing solutions either depend on trial-and-error prompt engineering or require computationally expensive inference-time algorithms. In this study, built on the key insight that worst-case prompts exhibit a drift in embedding space, we present Latent Adversarial Paraphrasing (LAP), a dual-loop adversarial framework that optimizes a trainable perturbation as “latent continuous paraphrase” and language model performance on these perturbations iteratively. Extensive experiments are conducted to demonstrate the effectiveness of LAP across multiple backbones on the RobustAlpaca benchmark with a 0.5%-4% absolution improvement on worst-case win-rate.</x:v>
      </x:c>
      <x:c r="H9" s="17" t="n">
        <x:v>128</x:v>
      </x:c>
      <x:c r="I9" s="17" t="n">
        <x:v>2</x:v>
      </x:c>
      <x:c r="J9" s="17" t="n">
        <x:v>6</x:v>
      </x:c>
      <x:c r="K9" s="15" t="str">
        <x:v>embedding, latent</x:v>
      </x:c>
      <x:c r="L9" s="15" t="str">
        <x:v>https://aclanthology.org/2025.emnlp-main.1595/</x:v>
      </x:c>
      <x:c r="M9" s="15" t="str">
        <x:v>https://aclanthology.org/2025.emnlp-main.1595.pdf</x:v>
      </x:c>
      <x:c r="N9" s="15" t="str">
        <x:v>025a46cf21238e38a68b3ebcd51789855544b4c986a8413bbc87cbccd815acc8</x:v>
      </x:c>
      <x:c r="O9" s="1"/>
      <x:c r="P9" s="1"/>
      <x:c r="Q9" s="1"/>
    </x:row>
    <x:row r="10" ht="62" customHeight="1">
      <x:c r="A10" s="16" t="n">
        <x:v>4</x:v>
      </x:c>
      <x:c r="B10" s="10" t="str">
        <x:v>Interpretability &amp; representation</x:v>
      </x:c>
      <x:c r="C10" s="16" t="n">
        <x:v>4</x:v>
      </x:c>
      <x:c r="D10" s="10" t="str">
        <x:v>2025.emnlp-main.509</x:v>
      </x:c>
      <x:c r="E10" s="12" t="str">
        <x:v>Towards Transferable Personality Representation Learning based on Triplet Comparisons and Its Applications</x:v>
      </x:c>
      <x:c r="F10" s="12" t="str">
        <x:v>Kai Tang; Rui Wang; Renyu Zhu; Minmin Lin; Xiao Ding; Tangjie Lv; Changjie Fan; Runze Wu; Haobo Wang</x:v>
      </x:c>
      <x:c r="G10" s="12" t="str">
        <x:v>Personality is an important concept in psychology that reflects individual differences in thinking and behavior, and has significant applications across various fields. Most existing personality analysis methods address this issue at the bag level, treating the entire corpus gathered from one individual as a single unit for classification. However, this paradigm presents several challenges. From the data perspective, collecting a large corpus for each individual and performing comprehensive annotations pose significant difficulties in both data collection and labeling. On the application side, concentrating on classifying the entire corpus limits its applicability in more common single-instance scenarios. To address these issues, we propose a new task paradigm in text-based personality representation learning. Specifically, we construct a triplet personality trend comparison dataset to learn single-sentence personality embeddings with desirable metric properties. This approach removes the traditional constraints on data sources, facilitating dataset expansion, and can leverage the transfer capabilities of embeddings to easily adapt to various downstream tasks. Our experiments show that the learned embeddings significantly boost performance by a relative 10% across various applications, including personality detection, personality retrieval, and emotion translation prediction. The code and dataset are available at https://github.com/zjutangk/PTCD .</x:v>
      </x:c>
      <x:c r="H10" s="17" t="n">
        <x:v>197</x:v>
      </x:c>
      <x:c r="I10" s="17" t="n">
        <x:v>9</x:v>
      </x:c>
      <x:c r="J10" s="17" t="n">
        <x:v>6</x:v>
      </x:c>
      <x:c r="K10" s="15" t="str">
        <x:v>representation, embeddings</x:v>
      </x:c>
      <x:c r="L10" s="15" t="str">
        <x:v>https://aclanthology.org/2025.emnlp-main.509/</x:v>
      </x:c>
      <x:c r="M10" s="15" t="str">
        <x:v>https://aclanthology.org/2025.emnlp-main.509.pdf</x:v>
      </x:c>
      <x:c r="N10" s="15" t="str">
        <x:v>02cbc609ba1a0af20b3769c737b04df562cf529114626e4feba45ff2808c8c8a</x:v>
      </x:c>
      <x:c r="O10" s="1"/>
      <x:c r="P10" s="1"/>
      <x:c r="Q10" s="1"/>
    </x:row>
    <x:row r="11" ht="62" customHeight="1">
      <x:c r="A11" s="16" t="n">
        <x:v>5</x:v>
      </x:c>
      <x:c r="B11" s="10" t="str">
        <x:v>Interpretability &amp; representation</x:v>
      </x:c>
      <x:c r="C11" s="16" t="n">
        <x:v>5</x:v>
      </x:c>
      <x:c r="D11" s="10" t="str">
        <x:v>2025.emnlp-main.930</x:v>
      </x:c>
      <x:c r="E11" s="12" t="str">
        <x:v>Towards a Unified Paradigm of Concept Editing in Large Language Models</x:v>
      </x:c>
      <x:c r="F11" s="12" t="str">
        <x:v>Zhuowen Han; Xinwei Wu; Dan Shi; Renren Jin; Deyi Xiong</x:v>
      </x:c>
      <x:c r="G11" s="12" t="str">
        <x:v>Concept editing aims to control specific concepts in large language models (LLMs) and is an emerging subfield of model editing. Despite the emergence of various editing methods in recent years, there remains a lack of rigorous theoretical analysis and a unified perspective to systematically understand and compare these methods. To address this gap, we propose a unified paradigm for concept editing methods, in which all forms of conceptual injection are aligned at the neuron level. We study four representative concept editing methods: Neuron Editing (NE), Supervised Fine-tuning (SFT), Sparse Autoencoder (SAE), and Steering Vector (SV). Then we categorize them into two classes based on their mode of conceptual information injection: indirect (NE, SFT) and direct (SAE, SV). We evaluate above methods along four dimensions: editing reliability, output generalization, neuron level consistency, and mathematical formalization. Experiments show that SAE achieves the best editing reliability. In output generalization, SAE captures features closer to human-understood concepts, while NE tends to locate text patterns rather than true semantics. Neuron-level analysis reveals that direct methods share high neuron overlap, as do indirect methods, indicating methodological commonality within each category. Our unified paradigm offers a clear framework and valuable insights for advancing interpretability and controlled generation in LLMs.</x:v>
      </x:c>
      <x:c r="H11" s="17" t="n">
        <x:v>205</x:v>
      </x:c>
      <x:c r="I11" s="17" t="n">
        <x:v>5</x:v>
      </x:c>
      <x:c r="J11" s="17" t="n">
        <x:v>2</x:v>
      </x:c>
      <x:c r="K11" s="15" t="str">
        <x:v>interpretability, sparse autoencoder</x:v>
      </x:c>
      <x:c r="L11" s="15" t="str">
        <x:v>https://aclanthology.org/2025.emnlp-main.930/</x:v>
      </x:c>
      <x:c r="M11" s="15" t="str">
        <x:v>https://aclanthology.org/2025.emnlp-main.930.pdf</x:v>
      </x:c>
      <x:c r="N11" s="15" t="str">
        <x:v>032078b852aa69324f81df164bf6051eeb9b16bfba5835497f887afbac960206</x:v>
      </x:c>
      <x:c r="O11" s="1"/>
      <x:c r="P11" s="1"/>
      <x:c r="Q11" s="1"/>
    </x:row>
    <x:row r="12" ht="62" customHeight="1">
      <x:c r="A12" s="16" t="n">
        <x:v>6</x:v>
      </x:c>
      <x:c r="B12" s="10" t="str">
        <x:v>Multilingual &amp; translation</x:v>
      </x:c>
      <x:c r="C12" s="16" t="n">
        <x:v>1</x:v>
      </x:c>
      <x:c r="D12" s="10" t="str">
        <x:v>2025.emnlp-main.523</x:v>
      </x:c>
      <x:c r="E12" s="12" t="str">
        <x:v>A Case Against Implicit Standards: Homophone Normalization in Machine Translation for Languages that use the G e’ez Script.</x:v>
      </x:c>
      <x:c r="F12" s="12" t="str">
        <x:v>Hellina Hailu Nigatu; Atnafu Lambebo Tonja; Henok Biadglign Ademtew; Hizkiel Mitiku Alemayehu; Negasi Haile Abadi; Tadesse Destaw Belay; Seid Muhie Yimam</x:v>
      </x:c>
      <x:c r="G12" s="12" t="str">
        <x:v>Homophone normalization–where characters that have the same sound in a writing script are mapped to one character–is a pre-processing step applied in Amharic Natural Language Processing (NLP) literature. While this may improve performance reported by automatic metrics, it also results in models that are unable to effectively process different forms of writing in a single language. Further, there might be impacts in transfer learning, where models trained on normalized data do not generalize well to other languages. In this paper, we experiment with monolingual training and cross-lingual transfer to understand the impacts of normalization on languages that use the Ge’ez script. We then propose a post-inference intervention in which normalization is applied to model predictions instead of training data. With our simple scheme of post-inference normalization, we show that we can achieve an increase in BLEU score of up to 1.03 while preserving language features in training.</x:v>
      </x:c>
      <x:c r="H12" s="17" t="n">
        <x:v>155</x:v>
      </x:c>
      <x:c r="I12" s="17" t="n">
        <x:v>7</x:v>
      </x:c>
      <x:c r="J12" s="17" t="n">
        <x:v>11</x:v>
      </x:c>
      <x:c r="K12" s="15" t="str">
        <x:v>translation, machine translation, cross-lingual</x:v>
      </x:c>
      <x:c r="L12" s="15" t="str">
        <x:v>https://aclanthology.org/2025.emnlp-main.523/</x:v>
      </x:c>
      <x:c r="M12" s="15" t="str">
        <x:v>https://aclanthology.org/2025.emnlp-main.523.pdf</x:v>
      </x:c>
      <x:c r="N12" s="15" t="str">
        <x:v>057aa9e261cf6586972ac57dcc8b89a6b694d4ee6a4a8a1c526be44b100c853d</x:v>
      </x:c>
      <x:c r="O12" s="1"/>
      <x:c r="P12" s="1"/>
      <x:c r="Q12" s="1"/>
    </x:row>
    <x:row r="13" ht="62" customHeight="1">
      <x:c r="A13" s="16" t="n">
        <x:v>7</x:v>
      </x:c>
      <x:c r="B13" s="10" t="str">
        <x:v>Multilingual &amp; translation</x:v>
      </x:c>
      <x:c r="C13" s="16" t="n">
        <x:v>2</x:v>
      </x:c>
      <x:c r="D13" s="10" t="str">
        <x:v>2025.emnlp-main.1369</x:v>
      </x:c>
      <x:c r="E13" s="12" t="str">
        <x:v>M - W anda: Improving One-Shot Pruning for Multilingual LLM s</x:v>
      </x:c>
      <x:c r="F13" s="12" t="str">
        <x:v>Rochelle Choenni; Ivan Titov</x:v>
      </x:c>
      <x:c r="G13" s="12" t="str">
        <x:v>Multilingual LLM performance is often critically dependent on model size. With an eye on efficiency, this has led to a surge in interest in one-shot pruning methods that retain the benefits of large-scale pretraining while shrinking the model size. However, as pruning tends to come with performance loss, it is important to understand the trade-offs between multilinguality and sparsification. In this work, we study multilingual performance under different sparsity constraints and show that moderate ratios already substantially harm performance. To help bridge this gap, we propose M-Wanda, a pruning method that models cross-lingual variation by incorporating language-aware activation statistics into its pruning criterion and dynamically adjusts layerwise sparsity based on cross-lingual importance. We show that M-Wanda consistently improves performance at minimal additional costs. We are the first to explicitly optimize pruning to retain multilingual performance, and hope to inspire future advances in multilingual pruning.</x:v>
      </x:c>
      <x:c r="H13" s="17" t="n">
        <x:v>152</x:v>
      </x:c>
      <x:c r="I13" s="17" t="n">
        <x:v>2</x:v>
      </x:c>
      <x:c r="J13" s="17" t="n">
        <x:v>6</x:v>
      </x:c>
      <x:c r="K13" s="15" t="str">
        <x:v>multilingual, cross-lingual</x:v>
      </x:c>
      <x:c r="L13" s="15" t="str">
        <x:v>https://aclanthology.org/2025.emnlp-main.1369/</x:v>
      </x:c>
      <x:c r="M13" s="15" t="str">
        <x:v>https://aclanthology.org/2025.emnlp-main.1369.pdf</x:v>
      </x:c>
      <x:c r="N13" s="15" t="str">
        <x:v>0861c3c1fcbf54146cf18741f0a5105f27439be1eecff3619cd34899290ba9f9</x:v>
      </x:c>
      <x:c r="O13" s="1"/>
      <x:c r="P13" s="1"/>
      <x:c r="Q13" s="1"/>
    </x:row>
    <x:row r="14" ht="62" customHeight="1">
      <x:c r="A14" s="16" t="n">
        <x:v>8</x:v>
      </x:c>
      <x:c r="B14" s="10" t="str">
        <x:v>Multilingual &amp; translation</x:v>
      </x:c>
      <x:c r="C14" s="16" t="n">
        <x:v>3</x:v>
      </x:c>
      <x:c r="D14" s="10" t="str">
        <x:v>2025.emnlp-main.1673</x:v>
      </x:c>
      <x:c r="E14" s="12" t="str">
        <x:v>S inhala MMLU : A Comprehensive Benchmark for Evaluating Multitask Language Understanding in S inhala</x:v>
      </x:c>
      <x:c r="F14" s="12" t="str">
        <x:v>Ashmari Pramodya; Nirasha Nelki; Heshan Shalinda; Chamila Liyanage; Yusuke Sakai; Randil Pushpananda; Ruvan Weerasinghe; Hidetaka Kamigaito; Taro Watanabe</x:v>
      </x:c>
      <x:c r="G14" s="12" t="str">
        <x:v>Large Language Models (LLMs) demonstrate impressive general knowledge and reasoning abilities, yet their evaluation has predominantly focused on global or anglocentric subjects, often neglecting low-resource languages and culturally specific content. While recent multilingual benchmarks attempt to bridge this gap, many rely on automatic translation, which can introduce errors and misrepresent the original cultural context. To address this, we introduce SinhalaMMLU, the first multiple-choice question answering benchmark designed specifically for Sinhala, a low-resource language. The dataset includes over 7,000 questions spanning secondary to collegiate education levels, aligned with the Sri Lankan national curriculum, and covers six domains and 30 subjects, encompassing both general academic topics and culturally grounded knowledge. We evaluate 26 LLMs on SinhalaMMLU and observe that, while Claude 3.5 sonnet and GPT-4o achieve the highest average accuracies at 67% and 62% respectively, overall model performance remains limited. In particular, models struggle in culturally rich domains such as the Humanities, revealing substantial room for improvement in adapting LLMs to low-resource and culturally specific contexts.</x:v>
      </x:c>
      <x:c r="H14" s="17" t="n">
        <x:v>171</x:v>
      </x:c>
      <x:c r="I14" s="17" t="n">
        <x:v>9</x:v>
      </x:c>
      <x:c r="J14" s="17" t="n">
        <x:v>3</x:v>
      </x:c>
      <x:c r="K14" s="15" t="str">
        <x:v>translation, multilingual, low-resource</x:v>
      </x:c>
      <x:c r="L14" s="15" t="str">
        <x:v>https://aclanthology.org/2025.emnlp-main.1673/</x:v>
      </x:c>
      <x:c r="M14" s="15" t="str">
        <x:v>https://aclanthology.org/2025.emnlp-main.1673.pdf</x:v>
      </x:c>
      <x:c r="N14" s="15" t="str">
        <x:v>0a1260e20dfbdd6756054132702194d076bc264bc48d59360bdaf0b085b20e66</x:v>
      </x:c>
      <x:c r="O14" s="1"/>
      <x:c r="P14" s="1"/>
      <x:c r="Q14" s="1"/>
    </x:row>
    <x:row r="15" ht="62" customHeight="1">
      <x:c r="A15" s="16" t="n">
        <x:v>9</x:v>
      </x:c>
      <x:c r="B15" s="10" t="str">
        <x:v>Multilingual &amp; translation</x:v>
      </x:c>
      <x:c r="C15" s="16" t="n">
        <x:v>4</x:v>
      </x:c>
      <x:c r="D15" s="10" t="str">
        <x:v>2025.emnlp-main.1725</x:v>
      </x:c>
      <x:c r="E15" s="12" t="str">
        <x:v>Toward Machine Translation Literacy: How Lay Users Perceive and Rely on Imperfect Translations</x:v>
      </x:c>
      <x:c r="F15" s="12" t="str">
        <x:v>Yimin Xiao; Yongle Zhang; Dayeon Ki; Calvin Bao; Marianna J. Martindale; Charlotte Vaughn; Ge Gao; Marine Carpuat</x:v>
      </x:c>
      <x:c r="G15" s="12" t="str">
        <x:v>As Machine Translation (MT) becomes increasingly commonplace, understanding how the general public perceives and relies on imperfect MT is crucial for contextualizing MT research in real-world applications. We present a human study conducted in a public museum (n=452), investigating how fluency and adequacy errors impact bilingual and non-bilingual users’ reliance on MT during casual use. Our findings reveal that non-bilingual users often over-rely on MT due to a lack of evaluation strategies and alternatives, while experiencing the impact of errors can prompt users to reassess future reliance. This highlights the need for MT evaluation and NLP explanation techniques to promote not only MT quality, but also MT literacy among its users.</x:v>
      </x:c>
      <x:c r="H15" s="17" t="n">
        <x:v>116</x:v>
      </x:c>
      <x:c r="I15" s="17" t="n">
        <x:v>8</x:v>
      </x:c>
      <x:c r="J15" s="17" t="n">
        <x:v>11</x:v>
      </x:c>
      <x:c r="K15" s="15" t="str">
        <x:v>translation, machine translation, bilingual</x:v>
      </x:c>
      <x:c r="L15" s="15" t="str">
        <x:v>https://aclanthology.org/2025.emnlp-main.1725/</x:v>
      </x:c>
      <x:c r="M15" s="15" t="str">
        <x:v>https://aclanthology.org/2025.emnlp-main.1725.pdf</x:v>
      </x:c>
      <x:c r="N15" s="15" t="str">
        <x:v>0a907fc653bed3e3759940429856fa68f5dacb2d0b41f41a2a840f3f64c3b26c</x:v>
      </x:c>
      <x:c r="O15" s="1"/>
      <x:c r="P15" s="1"/>
      <x:c r="Q15" s="1"/>
    </x:row>
    <x:row r="16" ht="62" customHeight="1">
      <x:c r="A16" s="16" t="n">
        <x:v>10</x:v>
      </x:c>
      <x:c r="B16" s="10" t="str">
        <x:v>Multilingual &amp; translation</x:v>
      </x:c>
      <x:c r="C16" s="16" t="n">
        <x:v>5</x:v>
      </x:c>
      <x:c r="D16" s="10" t="str">
        <x:v>2025.emnlp-main.324</x:v>
      </x:c>
      <x:c r="E16" s="12" t="str">
        <x:v>Multilingual Prompting for Improving LLM Generation Diversity</x:v>
      </x:c>
      <x:c r="F16" s="12" t="str">
        <x:v>Qihan Wang; Shidong Pan; Tal Linzen; Emily Black</x:v>
      </x:c>
      <x:c r="G16" s="12" t="str">
        <x:v>Large Language Models (LLMs) are known to lack cultural representation and overall diversity in their generations, from expressing opinions to answering factual questions. To mitigate this problem, we propose multilingual prompting: a prompting method which generates several variations of a base prompt with added cultural and linguistic cues from several cultures, generates responses, and then combines the results. Building on evidence that LLMs have language-specific knowledge, multilingual prompting seeks to increase diversity by activating a broader range of cultural knowledge embedded in model training data. Through experiments across multiple models (GPT-4o, GPT-4o-mini, LLaMA 70B, and LLaMA 8B), we show that multilingual prompting consistently outperforms existing diversity-enhancing techniques such as high-temperature sampling, step-by-step recall, and persona prompting. Further analyses show that the benefits of multilingual prompting vary between high and low resource languages and across model sizes, and that aligning the prompting language with cultural cues reduces hallucination about culturally-specific information.</x:v>
      </x:c>
      <x:c r="H16" s="17" t="n">
        <x:v>159</x:v>
      </x:c>
      <x:c r="I16" s="17" t="n">
        <x:v>4</x:v>
      </x:c>
      <x:c r="J16" s="17" t="n">
        <x:v>5</x:v>
      </x:c>
      <x:c r="K16" s="15" t="str">
        <x:v>multilingual</x:v>
      </x:c>
      <x:c r="L16" s="15" t="str">
        <x:v>https://aclanthology.org/2025.emnlp-main.324/</x:v>
      </x:c>
      <x:c r="M16" s="15" t="str">
        <x:v>https://aclanthology.org/2025.emnlp-main.324.pdf</x:v>
      </x:c>
      <x:c r="N16" s="15" t="str">
        <x:v>0c1aeb2a7e028b7dd3f56325fec028e03bc362b1d52c74d457c812fbf8810606</x:v>
      </x:c>
      <x:c r="O16" s="1"/>
      <x:c r="P16" s="1"/>
      <x:c r="Q16" s="1"/>
    </x:row>
    <x:row r="17" ht="62" customHeight="1">
      <x:c r="A17" s="16" t="n">
        <x:v>11</x:v>
      </x:c>
      <x:c r="B17" s="10" t="str">
        <x:v>Multimodal, dialogue &amp; narrative</x:v>
      </x:c>
      <x:c r="C17" s="16" t="n">
        <x:v>1</x:v>
      </x:c>
      <x:c r="D17" s="10" t="str">
        <x:v>2025.emnlp-main.1561</x:v>
      </x:c>
      <x:c r="E17" s="12" t="str">
        <x:v>C ausal VLB ench: Benchmarking Visual Causal Reasoning in Large Vision-Language Models</x:v>
      </x:c>
      <x:c r="F17" s="12" t="str">
        <x:v>Aneesh Komanduri; Karuna Bhaila; Xintao Wu</x:v>
      </x:c>
      <x:c r="G17" s="12" t="str">
        <x:v>Large language models (LLMs) have shown remarkable ability in various language tasks, especially with their emergent in-context learning capability. Extending LLMs to incorporate visual inputs, large vision-language models (LVLMs) have shown impressive performance in tasks such as recognition and visual question answering (VQA). Despite increasing interest in the utility of LLMs in causal reasoning tasks such as causal discovery and counterfactual reasoning, there has been relatively little work showcasing the abilities of LVLMs on visual causal reasoning tasks. We take this opportunity to formally introduce a comprehensive causal reasoning benchmark for multi-modal in-context learning from LVLMs. Our CausalVLBench encompasses three representative tasks: causal structure inference, intervention target prediction, and counterfactual prediction. We evaluate the ability of state-of-the-art open-source LVLMs on our causal reasoning tasks across three causal representation learning datasets and demonstrate their fundamental strengths and weaknesses. We hope that our benchmark elucidates the drawbacks of existing vision-language models and motivates new directions and paradigms in improving the visual causal reasoning abilities of LVLMs.</x:v>
      </x:c>
      <x:c r="H17" s="17" t="n">
        <x:v>173</x:v>
      </x:c>
      <x:c r="I17" s="17" t="n">
        <x:v>3</x:v>
      </x:c>
      <x:c r="J17" s="17" t="n">
        <x:v>10</x:v>
      </x:c>
      <x:c r="K17" s="15" t="str">
        <x:v>vision-language, visual</x:v>
      </x:c>
      <x:c r="L17" s="15" t="str">
        <x:v>https://aclanthology.org/2025.emnlp-main.1561/</x:v>
      </x:c>
      <x:c r="M17" s="15" t="str">
        <x:v>https://aclanthology.org/2025.emnlp-main.1561.pdf</x:v>
      </x:c>
      <x:c r="N17" s="15" t="str">
        <x:v>020004471423bb551ce91e76cc102e3f738b54a689f5b6e4e87c6de107c89bd4</x:v>
      </x:c>
      <x:c r="O17" s="1"/>
      <x:c r="P17" s="1"/>
      <x:c r="Q17" s="1"/>
    </x:row>
    <x:row r="18" ht="62" customHeight="1">
      <x:c r="A18" s="16" t="n">
        <x:v>12</x:v>
      </x:c>
      <x:c r="B18" s="10" t="str">
        <x:v>Multimodal, dialogue &amp; narrative</x:v>
      </x:c>
      <x:c r="C18" s="16" t="n">
        <x:v>2</x:v>
      </x:c>
      <x:c r="D18" s="10" t="str">
        <x:v>2025.emnlp-main.28</x:v>
      </x:c>
      <x:c r="E18" s="12" t="str">
        <x:v>Seeing More, Saying More: Lightweight Language Experts are Dynamic Video Token Compressors</x:v>
      </x:c>
      <x:c r="F18" s="12" t="str">
        <x:v>Xiangchen Wang; Jinrui Zhang; Teng Wang; Haigang Zhang; Feng Zheng</x:v>
      </x:c>
      <x:c r="G18" s="12" t="str">
        <x:v>Recent advancements in large video-language models have revolutionized video understanding tasks. However, their efficiency is significantly constrained by processing high volumes of visual tokens. Existing token compression strategies apply a fixed compression ratio, ignoring the variability in semantic density among different video clips. Consequently, this lead to inadequate representation of information-rich clips due to insufficient tokens and unnecessary computation on static or content-poor ones. To address this, we propose LangDC, a Language-aware Dynamic Token Compressor. LangDC leverages a lightweight language model to describe video clips, converting them into soft caption tokens as visual representations. Trained with our proposed semantic density-aware supervision, LangDC aims to 1) cover key visual cues necessary for downstream task reasoning and 2) dynamically adjust compression ratios based on scene richness, reflected by descriptions length. Our design mimics how humans dynamically express what they see: complex scenes (seeing more) elicit more detailed language to convey nuances (saying more), whereas simpler scenes are described with fewer words. Experimental results show that our method reduces FLOPs by 49% compared to VideoGPT+ while maintaining competitive performance. Furthermore, qualitative results demonstrate our approach adaptively adjusts the token compression ratio based on video segment richness. Code will be released once acceptance.</x:v>
      </x:c>
      <x:c r="H18" s="17" t="n">
        <x:v>204</x:v>
      </x:c>
      <x:c r="I18" s="17" t="n">
        <x:v>5</x:v>
      </x:c>
      <x:c r="J18" s="17" t="n">
        <x:v>6</x:v>
      </x:c>
      <x:c r="K18" s="15" t="str">
        <x:v>visual, video</x:v>
      </x:c>
      <x:c r="L18" s="15" t="str">
        <x:v>https://aclanthology.org/2025.emnlp-main.28/</x:v>
      </x:c>
      <x:c r="M18" s="15" t="str">
        <x:v>https://aclanthology.org/2025.emnlp-main.28.pdf</x:v>
      </x:c>
      <x:c r="N18" s="15" t="str">
        <x:v>0266075d1d6c4070d1564cba8fcabef89a8b7c28e72487b9f802fa11ba889c42</x:v>
      </x:c>
      <x:c r="O18" s="1"/>
      <x:c r="P18" s="1"/>
      <x:c r="Q18" s="1"/>
    </x:row>
    <x:row r="19" ht="62" customHeight="1">
      <x:c r="A19" s="16" t="n">
        <x:v>13</x:v>
      </x:c>
      <x:c r="B19" s="10" t="str">
        <x:v>Multimodal, dialogue &amp; narrative</x:v>
      </x:c>
      <x:c r="C19" s="16" t="n">
        <x:v>3</x:v>
      </x:c>
      <x:c r="D19" s="10" t="str">
        <x:v>2025.emnlp-main.1004</x:v>
      </x:c>
      <x:c r="E19" s="12" t="str">
        <x:v>Exploring Artificial Image Generation for Stance Detection</x:v>
      </x:c>
      <x:c r="F19" s="12" t="str">
        <x:v>Zhengkang Zhang; Zhongqing Wang; Guodong Zhou</x:v>
      </x:c>
      <x:c r="G19" s="12" t="str">
        <x:v>Stance detection is a task aimed at identifying and analyzing the author’s stance from text. Previous studies have primarily focused on the text, which may not fully capture the implicit stance conveyed by the author. To address this limitation, we propose a novel approach that transforms original texts into artificially generated images and uses the visual representation to enhance stance detection. Our approach first employs a text-to-image model to generate candidate images for each text. These images are carefully crafted to adhere to three specific criteria: textual relevance, target consistency, and stance consistency. Next, we introduce a comprehensive evaluation framework to select the optimal image for each text from its generated candidates. Subsequently, we introduce a multimodal stance detection model that leverages both the original textual content and the generated image to identify the author’s stance. Experiments demonstrate the effectiveness of our approach and highlight the importance of artificially generated images for stance detection.</x:v>
      </x:c>
      <x:c r="H19" s="17" t="n">
        <x:v>158</x:v>
      </x:c>
      <x:c r="I19" s="17" t="n">
        <x:v>3</x:v>
      </x:c>
      <x:c r="J19" s="17" t="n">
        <x:v>7</x:v>
      </x:c>
      <x:c r="K19" s="15" t="str">
        <x:v>multimodal, visual, image</x:v>
      </x:c>
      <x:c r="L19" s="15" t="str">
        <x:v>https://aclanthology.org/2025.emnlp-main.1004/</x:v>
      </x:c>
      <x:c r="M19" s="15" t="str">
        <x:v>https://aclanthology.org/2025.emnlp-main.1004.pdf</x:v>
      </x:c>
      <x:c r="N19" s="15" t="str">
        <x:v>03edf2ea5d5af1a98264fa3ce26471af9aa133fc4b3cdd5b49d1e400cb0209b1</x:v>
      </x:c>
      <x:c r="O19" s="1"/>
      <x:c r="P19" s="1"/>
      <x:c r="Q19" s="1"/>
    </x:row>
    <x:row r="20" ht="62" customHeight="1">
      <x:c r="A20" s="16" t="n">
        <x:v>14</x:v>
      </x:c>
      <x:c r="B20" s="10" t="str">
        <x:v>Multimodal, dialogue &amp; narrative</x:v>
      </x:c>
      <x:c r="C20" s="16" t="n">
        <x:v>4</x:v>
      </x:c>
      <x:c r="D20" s="10" t="str">
        <x:v>2025.emnlp-main.1084</x:v>
      </x:c>
      <x:c r="E20" s="12" t="str">
        <x:v>Supervised Attention Mechanism for Low-quality Multimodal Data</x:v>
      </x:c>
      <x:c r="F20" s="12" t="str">
        <x:v>Sijie Mai; Shiqin Han; Haifeng Hu</x:v>
      </x:c>
      <x:c r="G20" s="12" t="str">
        <x:v>In practical applications, multimodal data are often of low quality, with noisy modalities and missing modalities being typical forms that severely hinder model performance, robustness, and applicability. However, current studies address these issues separately. To this end, we propose a framework for multimodal affective computing that jointly addresses missing and noisy modalities to enhance model robustness in low-quality data scenarios. Specifically, we view missing modality as a special case of noisy modality, and propose a supervised attention framework. In contrast to traditional attention mechanisms that rely on main task loss to update the parameters, we design supervisory signals for the learning of attention weights, ensuring that attention mechanisms can focus on discriminative information and suppress noisy information. We further propose a ranking-based optimization strategy to compare the relative importance of different interactions by adding a ranking constraint for attention weights, avoiding training noise caused by inaccurate absolute labels. The proposed model consistently outperforms state-of-the-art baselines on multiple datasets under the settings of complete modalities, missing modalities, and noisy modalities.</x:v>
      </x:c>
      <x:c r="H20" s="17" t="n">
        <x:v>174</x:v>
      </x:c>
      <x:c r="I20" s="17" t="n">
        <x:v>3</x:v>
      </x:c>
      <x:c r="J20" s="17" t="n">
        <x:v>5</x:v>
      </x:c>
      <x:c r="K20" s="15" t="str">
        <x:v>multimodal</x:v>
      </x:c>
      <x:c r="L20" s="15" t="str">
        <x:v>https://aclanthology.org/2025.emnlp-main.1084/</x:v>
      </x:c>
      <x:c r="M20" s="15" t="str">
        <x:v>https://aclanthology.org/2025.emnlp-main.1084.pdf</x:v>
      </x:c>
      <x:c r="N20" s="15" t="str">
        <x:v>067fea9bf130b8e56b2b0f4582438078078becefccefef3dac1c8ea9203d298f</x:v>
      </x:c>
      <x:c r="O20" s="1"/>
      <x:c r="P20" s="1"/>
      <x:c r="Q20" s="1"/>
    </x:row>
    <x:row r="21" ht="62" customHeight="1">
      <x:c r="A21" s="16" t="n">
        <x:v>15</x:v>
      </x:c>
      <x:c r="B21" s="10" t="str">
        <x:v>Multimodal, dialogue &amp; narrative</x:v>
      </x:c>
      <x:c r="C21" s="16" t="n">
        <x:v>5</x:v>
      </x:c>
      <x:c r="D21" s="10" t="str">
        <x:v>2025.emnlp-main.1324</x:v>
      </x:c>
      <x:c r="E21" s="12" t="str">
        <x:v>Zero-shot Multimodal Document Retrieval via Cross-modal Question Generation</x:v>
      </x:c>
      <x:c r="F21" s="12" t="str">
        <x:v>Yejin Choi; Jaewoo Park; Janghan Yoon; Saejin Kim; Jaehyun Jeon; Youngjae Yu</x:v>
      </x:c>
      <x:c r="G21" s="12" t="str">
        <x:v>Rapid advances in Multimodal Large Language Models (MLLMs) have extended information retrieval beyond text, enabling access to complex real-world documents that combine both textual and visual content. However, most documents are private, either owned by individuals or confined within corporate silos, and current retrievers struggle when faced with unseen domains or languages. To address this gap, we introduce PREMIR, a simple yet effective framework that leverages the broad knowledge of an MLLM to generate cross-modal pre-questions (preQs) before retrieval. Unlike earlier multimodal retrievers that embed entire documents as a single vector, PREMIR leverages preQs, decomposed from documents into finer token-level representations across modalities, enabling richer contextual understanding. Experiments show that PREMIR achieves state-of-the-art performance on out-of-distribution benchmarks, including closed-domain and multilingual settings, outperforming strong baselines across all metrics. We confirm the contribution of each component through in-depth ablation studies, and qualitative analyses of the generated preQs further highlight the framework’s robustness in real-world settings.</x:v>
      </x:c>
      <x:c r="H21" s="17" t="n">
        <x:v>167</x:v>
      </x:c>
      <x:c r="I21" s="17" t="n">
        <x:v>6</x:v>
      </x:c>
      <x:c r="J21" s="17" t="n">
        <x:v>6</x:v>
      </x:c>
      <x:c r="K21" s="15" t="str">
        <x:v>multimodal, visual</x:v>
      </x:c>
      <x:c r="L21" s="15" t="str">
        <x:v>https://aclanthology.org/2025.emnlp-main.1324/</x:v>
      </x:c>
      <x:c r="M21" s="15" t="str">
        <x:v>https://aclanthology.org/2025.emnlp-main.1324.pdf</x:v>
      </x:c>
      <x:c r="N21" s="15" t="str">
        <x:v>075d4a719b49babd754621cb05f716590fd7babbc38eb66829f5f9a4bece00b8</x:v>
      </x:c>
      <x:c r="O21" s="1"/>
      <x:c r="P21" s="1"/>
      <x:c r="Q21" s="1"/>
    </x:row>
    <x:row r="22" ht="62" customHeight="1">
      <x:c r="A22" s="16" t="n">
        <x:v>16</x:v>
      </x:c>
      <x:c r="B22" s="10" t="str">
        <x:v>Reasoning &amp; agents</x:v>
      </x:c>
      <x:c r="C22" s="16" t="n">
        <x:v>1</x:v>
      </x:c>
      <x:c r="D22" s="10" t="str">
        <x:v>2025.emnlp-main.1683</x:v>
      </x:c>
      <x:c r="E22" s="12" t="str">
        <x:v>M em I nsight: Autonomous Memory Augmentation for LLM Agents</x:v>
      </x:c>
      <x:c r="F22" s="12" t="str">
        <x:v>Rana Salama; Jason Cai; Michelle Yuan; Anna Currey; Monica Sunkara; Yi Zhang; Yassine Benajiba</x:v>
      </x:c>
      <x:c r="G22" s="12" t="str">
        <x:v>Large language model (LLM) agents have evolved to intelligently process information, make decisions, and interact with users or tools. A key capability is the integration of long-term memory capabilities, enabling these agents to draw upon historical interactions and knowledge. However, the growing memory size and need for semantic structuring pose significant challenges. In this work, we propose an autonomous memory augmentation approach, MemInsight, to enhance semantic data representation and retrieval mechanisms. By leveraging autonomous augmentation to historical interactions, LLM agents are shown to deliver more accurate and contextualized responses. We empirically validate the efficacy of our proposed approach in three task scenarios; conversational recommendation, question answering and event summarization. On the LLM-REDIAL dataset, MemInsight boosts persuasiveness of recommendations by up to 14%. Moreover, it outperforms a RAG baseline by 34% in recall for LoCoMo retrieval. Our empirical results show the potential of MemInsight to enhance the contextual performance of LLM agents across multiple tasks.</x:v>
      </x:c>
      <x:c r="H22" s="17" t="n">
        <x:v>156</x:v>
      </x:c>
      <x:c r="I22" s="17" t="n">
        <x:v>7</x:v>
      </x:c>
      <x:c r="J22" s="17" t="n">
        <x:v>5</x:v>
      </x:c>
      <x:c r="K22" s="15" t="str">
        <x:v>agents</x:v>
      </x:c>
      <x:c r="L22" s="15" t="str">
        <x:v>https://aclanthology.org/2025.emnlp-main.1683/</x:v>
      </x:c>
      <x:c r="M22" s="15" t="str">
        <x:v>https://aclanthology.org/2025.emnlp-main.1683.pdf</x:v>
      </x:c>
      <x:c r="N22" s="15" t="str">
        <x:v>00336b86b26c9390ff44f050951f7208e0030d0a776baf528f228f89a91c9688</x:v>
      </x:c>
      <x:c r="O22" s="1"/>
      <x:c r="P22" s="1"/>
      <x:c r="Q22" s="1"/>
    </x:row>
    <x:row r="23" ht="62" customHeight="1">
      <x:c r="A23" s="16" t="n">
        <x:v>17</x:v>
      </x:c>
      <x:c r="B23" s="10" t="str">
        <x:v>Reasoning &amp; agents</x:v>
      </x:c>
      <x:c r="C23" s="16" t="n">
        <x:v>2</x:v>
      </x:c>
      <x:c r="D23" s="10" t="str">
        <x:v>2025.emnlp-main.488</x:v>
      </x:c>
      <x:c r="E23" s="12" t="str">
        <x:v>Can Large Language Models Win the International Mathematical Games?</x:v>
      </x:c>
      <x:c r="F23" s="12" t="str">
        <x:v>Alessio Cocchieri; Luca Ragazzi; Giuseppe Tagliavini; Lorenzo Tordi; Antonella Carbonaro; Gianluca Moro</x:v>
      </x:c>
      <x:c r="G23" s="12" t="str">
        <x:v>Recent advances in large language models (LLMs) have demonstrated strong mathematical reasoning abilities, even in visual contexts, with some models surpassing human performance on existing benchmarks. However, these benchmarks lack structured age categorization, clearly defined skill requirements, and—crucially—were not designed to assess human performance in international competitions. To address these limitations, we introduce MathGames, a new benchmark of 2,183 high-quality mathematical problems (both text-only and multimodal) in an open-ended format, sourced from an international mathematical games championships. Spanning seven age groups and a skill-based taxonomy, MathGames enables a structured evaluation of LLMs’ mathematical and logical reasoning abilities. Our experiments reveal a substantial gap between state-of-the-art LLMs and human participants—even 11-year-olds consistently outperform some of the strongest models—highlighting the need for advancements. Further, our detailed error analysis offers valuable insights to guide future research. The data is publicly available at https://disi-unibo-nlp.github.io/math-games .</x:v>
      </x:c>
      <x:c r="H23" s="17" t="n">
        <x:v>161</x:v>
      </x:c>
      <x:c r="I23" s="17" t="n">
        <x:v>6</x:v>
      </x:c>
      <x:c r="J23" s="17" t="n">
        <x:v>6</x:v>
      </x:c>
      <x:c r="K23" s="15" t="str">
        <x:v>reasoning, mathematical</x:v>
      </x:c>
      <x:c r="L23" s="15" t="str">
        <x:v>https://aclanthology.org/2025.emnlp-main.488/</x:v>
      </x:c>
      <x:c r="M23" s="15" t="str">
        <x:v>https://aclanthology.org/2025.emnlp-main.488.pdf</x:v>
      </x:c>
      <x:c r="N23" s="15" t="str">
        <x:v>0379afebbc794918efb6784ee8cd53ec10b7df4e141f68c19d011d564038a5eb</x:v>
      </x:c>
      <x:c r="O23" s="1"/>
      <x:c r="P23" s="1"/>
      <x:c r="Q23" s="1"/>
    </x:row>
    <x:row r="24" ht="62" customHeight="1">
      <x:c r="A24" s="16" t="n">
        <x:v>18</x:v>
      </x:c>
      <x:c r="B24" s="10" t="str">
        <x:v>Reasoning &amp; agents</x:v>
      </x:c>
      <x:c r="C24" s="16" t="n">
        <x:v>3</x:v>
      </x:c>
      <x:c r="D24" s="10" t="str">
        <x:v>2025.emnlp-main.649</x:v>
      </x:c>
      <x:c r="E24" s="12" t="str">
        <x:v>P anic T o C alm: A Proactive Counseling Agent for Panic Attacks</x:v>
      </x:c>
      <x:c r="F24" s="12" t="str">
        <x:v>Jihyun Lee; Yejin Min; San Kim; Yejin Jeon; Sung Jun Yang; Hyounghun Kim; Gary Lee</x:v>
      </x:c>
      <x:c r="G24" s="12" t="str">
        <x:v>Panic attacks are acute episodes of fear and distress, in which timely, appropriate intervention can significantly help individuals regain stability. However, suitable datasets for training such models remain scarce due to ethical and logistical issues. To address this, we introduce Pace, which is a dataset that includes high-distress episodes constructed from first-person narratives, and structured around the principles of Psychological First Aid (PFA). Using this data, we train Pacer, a counseling model designed to provide both empathetic and directive support, which is optimized through supervised learning and simulated preference alignment. To assess its effectiveness, we propose PanicEval, a multi-dimensional framework covering general counseling quality and crisis-specific strategies. Experimental results show that Pacer outperforms strong baselines in both counselor-side metrics and client affect improvement. Human evaluations further confirm its practical value, with Pacer consistently preferred over general, CBT-based, and GPT-4-powered models in panic scenarios.</x:v>
      </x:c>
      <x:c r="H24" s="17" t="n">
        <x:v>151</x:v>
      </x:c>
      <x:c r="I24" s="17" t="n">
        <x:v>7</x:v>
      </x:c>
      <x:c r="J24" s="17" t="n">
        <x:v>5</x:v>
      </x:c>
      <x:c r="K24" s="15" t="str">
        <x:v>agent</x:v>
      </x:c>
      <x:c r="L24" s="15" t="str">
        <x:v>https://aclanthology.org/2025.emnlp-main.649/</x:v>
      </x:c>
      <x:c r="M24" s="15" t="str">
        <x:v>https://aclanthology.org/2025.emnlp-main.649.pdf</x:v>
      </x:c>
      <x:c r="N24" s="15" t="str">
        <x:v>03be80fbef71a22c47f0b69cc4d55aaf5bcba58fd66d815f090cc141a833ca5f</x:v>
      </x:c>
      <x:c r="O24" s="1"/>
      <x:c r="P24" s="1"/>
      <x:c r="Q24" s="1"/>
    </x:row>
    <x:row r="25" ht="62" customHeight="1">
      <x:c r="A25" s="16" t="n">
        <x:v>19</x:v>
      </x:c>
      <x:c r="B25" s="10" t="str">
        <x:v>Reasoning &amp; agents</x:v>
      </x:c>
      <x:c r="C25" s="16" t="n">
        <x:v>4</x:v>
      </x:c>
      <x:c r="D25" s="10" t="str">
        <x:v>2025.emnlp-main.567</x:v>
      </x:c>
      <x:c r="E25" s="12" t="str">
        <x:v>Back Attention: Understanding and Enhancing Multi-Hop Reasoning in Large Language Models</x:v>
      </x:c>
      <x:c r="F25" s="12" t="str">
        <x:v>Zeping Yu; Yonatan Belinkov; Sophia Ananiadou</x:v>
      </x:c>
      <x:c r="G25" s="12" t="str">
        <x:v>We investigate how large language models (LLMs) perform latent multi-hop reasoning in prompts like “Wolfgang Amadeus Mozart’s mother’s spouse is”. To analyze this process, we introduce logit flow, an interpretability method that traces how logits propagate across layers and positions toward the final prediction. Using logit flow, we identify four distinct stages in single-hop knowledge prediction: (A) entity subject enrichment, (B) entity attribute extraction, (C) relation subject enrichment, and (D) relation attribute extraction. Extending this analysis to multi-hop reasoning, we find that failures often stem from the relation attribute extraction stage, where conflicting logits reduce prediction accuracy. To address this, we propose back attention, a novel mechanism that enables lower layers to leverage higher-layer hidden states from different positions during attention computation. With back attention, a 1-layer transformer achieves the performance of a 2-layer transformer. Applied to five LLMs, back attention improves accuracy on five reasoning datasets, demonstrating its effectiveness in enhancing latent multi-hop reasoning ability. Code and data is available at https://github.com/zepingyu0512/back-attention .</x:v>
      </x:c>
      <x:c r="H25" s="17" t="n">
        <x:v>177</x:v>
      </x:c>
      <x:c r="I25" s="17" t="n">
        <x:v>3</x:v>
      </x:c>
      <x:c r="J25" s="17" t="n">
        <x:v>5</x:v>
      </x:c>
      <x:c r="K25" s="15" t="str">
        <x:v>reasoning</x:v>
      </x:c>
      <x:c r="L25" s="15" t="str">
        <x:v>https://aclanthology.org/2025.emnlp-main.567/</x:v>
      </x:c>
      <x:c r="M25" s="15" t="str">
        <x:v>https://aclanthology.org/2025.emnlp-main.567.pdf</x:v>
      </x:c>
      <x:c r="N25" s="15" t="str">
        <x:v>058d2e7fc290dcf1d82614bd129d3152d44171edfa562df5a4e7dcebbe79e546</x:v>
      </x:c>
      <x:c r="O25" s="1"/>
      <x:c r="P25" s="1"/>
      <x:c r="Q25" s="1"/>
    </x:row>
    <x:row r="26" ht="62" customHeight="1">
      <x:c r="A26" s="16" t="n">
        <x:v>20</x:v>
      </x:c>
      <x:c r="B26" s="10" t="str">
        <x:v>Reasoning &amp; agents</x:v>
      </x:c>
      <x:c r="C26" s="16" t="n">
        <x:v>5</x:v>
      </x:c>
      <x:c r="D26" s="10" t="str">
        <x:v>2025.emnlp-main.1236</x:v>
      </x:c>
      <x:c r="E26" s="12" t="str">
        <x:v>Sketch-of-Thought: Efficient LLM Reasoning with Adaptive Cognitive-Inspired Sketching</x:v>
      </x:c>
      <x:c r="F26" s="12" t="str">
        <x:v>Simon A. Aytes; Jinheon Baek; Sung Ju Hwang</x:v>
      </x:c>
      <x:c r="G26" s="12" t="str">
        <x:v>Recent advances in large language models (LLMs) have enabled strong reasoning capabilities through Chain-of-Thought (CoT) prompting, which elicits step-by-step problem solving, but often at the cost of excessive verbosity in intermediate outputs, leading to increased computational overhead. We propose Sketch-of-Thought (SoT), a prompting framework that integrates cognitively inspired reasoning paradigms with linguistic constraints to reduce token usage while preserving reasoning accuracy. SoT is designed as a flexible, modular approach and is instantiated with three paradigms—Conceptual Chaining, Chunked Symbolism, and Expert Lexicons—each tailored to distinct reasoning tasks and selected dynamically at test-time by a lightweight routing model. Across 18 reasoning datasets spanning multiple domains, languages, and modalities, SoT achieves token reductions of up to 84% with minimal accuracy loss. In tasks such as mathematical and multi-hop reasoning, it even improves accuracy while shortening outputs.</x:v>
      </x:c>
      <x:c r="H26" s="17" t="n">
        <x:v>143</x:v>
      </x:c>
      <x:c r="I26" s="17" t="n">
        <x:v>3</x:v>
      </x:c>
      <x:c r="J26" s="17" t="n">
        <x:v>7</x:v>
      </x:c>
      <x:c r="K26" s="15" t="str">
        <x:v>reasoning, chain-of-thought, mathematical</x:v>
      </x:c>
      <x:c r="L26" s="15" t="str">
        <x:v>https://aclanthology.org/2025.emnlp-main.1236/</x:v>
      </x:c>
      <x:c r="M26" s="15" t="str">
        <x:v>https://aclanthology.org/2025.emnlp-main.1236.pdf</x:v>
      </x:c>
      <x:c r="N26" s="15" t="str">
        <x:v>06166228111512aea4602797a90a0a1f59448001451719e66792d060db586e28</x:v>
      </x:c>
      <x:c r="O26" s="1"/>
      <x:c r="P26" s="1"/>
      <x:c r="Q26" s="1"/>
    </x:row>
    <x:row r="27" ht="62" customHeight="1">
      <x:c r="A27" s="16" t="n">
        <x:v>21</x:v>
      </x:c>
      <x:c r="B27" s="10" t="str">
        <x:v>Responsible NLP &amp; evaluation</x:v>
      </x:c>
      <x:c r="C27" s="16" t="n">
        <x:v>1</x:v>
      </x:c>
      <x:c r="D27" s="10" t="str">
        <x:v>2025.emnlp-main.1543</x:v>
      </x:c>
      <x:c r="E27" s="12" t="str">
        <x:v>UNCLE : Benchmarking Uncertainty Expressions in Long-Form Generation</x:v>
      </x:c>
      <x:c r="F27" s="12" t="str">
        <x:v>Ruihan Yang; Caiqi Zhang; Zhisong Zhang; Xinting Huang; Dong Yu; Nigel Collier; Deqing Yang</x:v>
      </x:c>
      <x:c r="G27" s="12" t="str">
        <x:v>Large Language Models (LLMs) are prone to hallucination, particularly in long-form generations. A promising direction to mitigate hallucination is to teach LLMs to express uncertainty explicitly when they lack sufficient knowledge. However, existing work lacks direct and fair evaluation of LLMs’ ability to express uncertainty effectively in long-form generation. To address this gap, we first introduce UNCLE, a benchmark designed to evaluate uncertainty expression in both long- and short-form question answering (QA). UNCLE covers five domains and includes more than 1,000 entities, each with paired short- and long-form QA items. Our dataset is the first to directly link short- and long-form QA through aligned questions and gold-standard answers.Along with UNCLE, we propose a suite of new metrics to assess the models’ capabilities to selectively express uncertainty. We then demonstrate that current models fail to convey uncertainty appropriately in long-form generation. We further explore both prompt-based and training-based methods to improve models’ performance, with the training-based methods yielding greater gains. Further analysis of alignment gaps between short- and long-form uncertainty expression highlights promising directions for future research using UNCLE.</x:v>
      </x:c>
      <x:c r="H27" s="17" t="n">
        <x:v>191</x:v>
      </x:c>
      <x:c r="I27" s="17" t="n">
        <x:v>7</x:v>
      </x:c>
      <x:c r="J27" s="17" t="n">
        <x:v>3</x:v>
      </x:c>
      <x:c r="K27" s="15" t="str">
        <x:v>fair, hallucination, evaluation</x:v>
      </x:c>
      <x:c r="L27" s="15" t="str">
        <x:v>https://aclanthology.org/2025.emnlp-main.1543/</x:v>
      </x:c>
      <x:c r="M27" s="15" t="str">
        <x:v>https://aclanthology.org/2025.emnlp-main.1543.pdf</x:v>
      </x:c>
      <x:c r="N27" s="15" t="str">
        <x:v>02af3c3a17f368d2829dec774b4b7b4dc2043a9b9c2e0d245d6282016f48b5c0</x:v>
      </x:c>
      <x:c r="O27" s="1"/>
      <x:c r="P27" s="1"/>
      <x:c r="Q27" s="1"/>
    </x:row>
    <x:row r="28" ht="62" customHeight="1">
      <x:c r="A28" s="16" t="n">
        <x:v>22</x:v>
      </x:c>
      <x:c r="B28" s="10" t="str">
        <x:v>Responsible NLP &amp; evaluation</x:v>
      </x:c>
      <x:c r="C28" s="16" t="n">
        <x:v>2</x:v>
      </x:c>
      <x:c r="D28" s="10" t="str">
        <x:v>2025.emnlp-main.246</x:v>
      </x:c>
      <x:c r="E28" s="12" t="str">
        <x:v>When Audio and Text Disagree: Revealing Text Bias in Large Audio-Language Models</x:v>
      </x:c>
      <x:c r="F28" s="12" t="str">
        <x:v>Cheng Wang; Gelei Deng; Xianglin Yang; Han Qiu; Tianwei Zhang</x:v>
      </x:c>
      <x:c r="G28" s="12" t="str">
        <x:v>Large Audio-Language Models (LALMs) are augmented with the ability to perceive audio, demonstrating impressive capabilities in processing combined audio and text signals. However, their reliability when faced with conflicting inputs across modalities remains largely unexplored. This study examines how LALMs prioritize information when presented with inconsistent audio-text pairs. Through extensive evaluation across diverse audio understanding tasks, we reveal a concerning phenomenon: when inconsistencies exist between modalities, LALMs display a significant bias toward textual input, often disregarding audio evidence. This tendency leads to substantial performance degradation in audio-centric tasks and raises important reliability concerns for real-world applications. We further investigate the influencing factors of text bias, explore mitigation strategies through supervised fine-tuning, and analyze model confidence patterns that reveal persistent overconfidence even with contradictory inputs. These findings underscore the need for improved modality balancing during training and more sophisticated fusion mechanisms to enhance robustness when handling conflicting multi-modal inputs. The project is available at https://github.com/WangCheng0116/MCR-BENCH .</x:v>
      </x:c>
      <x:c r="H28" s="17" t="n">
        <x:v>165</x:v>
      </x:c>
      <x:c r="I28" s="17" t="n">
        <x:v>5</x:v>
      </x:c>
      <x:c r="J28" s="17" t="n">
        <x:v>7</x:v>
      </x:c>
      <x:c r="K28" s="15" t="str">
        <x:v>bias, robustness, evaluation</x:v>
      </x:c>
      <x:c r="L28" s="15" t="str">
        <x:v>https://aclanthology.org/2025.emnlp-main.246/</x:v>
      </x:c>
      <x:c r="M28" s="15" t="str">
        <x:v>https://aclanthology.org/2025.emnlp-main.246.pdf</x:v>
      </x:c>
      <x:c r="N28" s="15" t="str">
        <x:v>03557502a21221af4b571e8cec2b350cdbc3ea7969780db2aec6d6da16863eee</x:v>
      </x:c>
      <x:c r="O28" s="1"/>
      <x:c r="P28" s="1"/>
      <x:c r="Q28" s="1"/>
    </x:row>
    <x:row r="29" ht="62" customHeight="1">
      <x:c r="A29" s="16" t="n">
        <x:v>23</x:v>
      </x:c>
      <x:c r="B29" s="10" t="str">
        <x:v>Responsible NLP &amp; evaluation</x:v>
      </x:c>
      <x:c r="C29" s="16" t="n">
        <x:v>3</x:v>
      </x:c>
      <x:c r="D29" s="10" t="str">
        <x:v>2025.emnlp-main.1625</x:v>
      </x:c>
      <x:c r="E29" s="12" t="str">
        <x:v>Can Large Language Models Outperform Non-Experts in Poetry Evaluation? A Comparative Study Using the Consensual Assessment Technique</x:v>
      </x:c>
      <x:c r="F29" s="12" t="str">
        <x:v>Piotr Sawicki; Marek Grzes; Dan Brown; Fabricio Goes</x:v>
      </x:c>
      <x:c r="G29" s="12" t="str">
        <x:v>This study adapts the Consensual Assessment Technique (CAT) for Large Language Models (LLMs), introducing a novel methodology for poetry evaluation. Using a 90-poem dataset with a ground truth based on publication venue, we demonstrate that this approach allows LLMs to significantly surpass the performance of non-expert human judges. Our method, which leverages forced-choice ranking within small, randomized batches, enabled Claude-3-Opus to achieve a Spearman’s Rank Correlation of 0.87 with the ground truth, dramatically outperforming the best human non-expert evaluation (SRC = 0.38). The LLM assessments also exhibited high inter-rater reliability, underscoring the methodology’s robustness. These findings establish that LLMs, when guided by a comparative framework, can be effective and reliable tools for assessing poetry, paving the way for their broader application in other creative domains.</x:v>
      </x:c>
      <x:c r="H29" s="17" t="n">
        <x:v>135</x:v>
      </x:c>
      <x:c r="I29" s="17" t="n">
        <x:v>4</x:v>
      </x:c>
      <x:c r="J29" s="17" t="n">
        <x:v>6</x:v>
      </x:c>
      <x:c r="K29" s="15" t="str">
        <x:v>robustness, evaluation</x:v>
      </x:c>
      <x:c r="L29" s="15" t="str">
        <x:v>https://aclanthology.org/2025.emnlp-main.1625/</x:v>
      </x:c>
      <x:c r="M29" s="15" t="str">
        <x:v>https://aclanthology.org/2025.emnlp-main.1625.pdf</x:v>
      </x:c>
      <x:c r="N29" s="15" t="str">
        <x:v>04ab24cef3d1556991a6b9e03524069733c5ba8c0c7557307520b4dc708e0e30</x:v>
      </x:c>
      <x:c r="O29" s="1"/>
      <x:c r="P29" s="1"/>
      <x:c r="Q29" s="1"/>
    </x:row>
    <x:row r="30" ht="62" customHeight="1">
      <x:c r="A30" s="16" t="n">
        <x:v>24</x:v>
      </x:c>
      <x:c r="B30" s="10" t="str">
        <x:v>Responsible NLP &amp; evaluation</x:v>
      </x:c>
      <x:c r="C30" s="16" t="n">
        <x:v>4</x:v>
      </x:c>
      <x:c r="D30" s="10" t="str">
        <x:v>2025.emnlp-main.558</x:v>
      </x:c>
      <x:c r="E30" s="12" t="str">
        <x:v>Long-Form Information Alignment Evaluation Beyond Atomic Facts</x:v>
      </x:c>
      <x:c r="F30" s="12" t="str">
        <x:v>Danna Zheng; Mirella Lapata; Jeff Z. Pan</x:v>
      </x:c>
      <x:c r="G30" s="12" t="str">
        <x:v>Information alignment evaluators are vital for various NLG evaluation tasks and trustworthy LLM deployment, reducing hallucinations and enhancing user trust. Current fine-grained methods, like FactScore, verify facts individually but neglect inter-fact dependencies, enabling subtle vulnerabilities.In this work, we introduce MontageLie, a challenging benchmark that constructs deceptive narratives by “montaging” truthful statements without introducing explicit hallucinations.We demonstrate that both coarse-grained LLM-based evaluators and current fine-grained frameworks are susceptible to this attack, with AUC-ROC scores falling below 65%.To enable more robust fine-grained evaluation, we propose DoveScore, a novel framework that jointly verifies factual accuracy and event-order consistency. By modeling inter-fact relationships, DoveScore outperforms existing fine-grained methods by over 8%, providing a more robust solution for long-form text alignment evaluation. Our code and datasets are available at https://github.com/dannalily/DoveScore .</x:v>
      </x:c>
      <x:c r="H30" s="17" t="n">
        <x:v>143</x:v>
      </x:c>
      <x:c r="I30" s="17" t="n">
        <x:v>3</x:v>
      </x:c>
      <x:c r="J30" s="17" t="n">
        <x:v>5</x:v>
      </x:c>
      <x:c r="K30" s="15" t="str">
        <x:v>evaluation</x:v>
      </x:c>
      <x:c r="L30" s="15" t="str">
        <x:v>https://aclanthology.org/2025.emnlp-main.558/</x:v>
      </x:c>
      <x:c r="M30" s="15" t="str">
        <x:v>https://aclanthology.org/2025.emnlp-main.558.pdf</x:v>
      </x:c>
      <x:c r="N30" s="15" t="str">
        <x:v>0649768dae5c5a15690c9ce6495612de55c0e9c5e7fa103e133644c78da1a817</x:v>
      </x:c>
      <x:c r="O30" s="1"/>
      <x:c r="P30" s="1"/>
      <x:c r="Q30" s="1"/>
    </x:row>
    <x:row r="31" ht="62" customHeight="1">
      <x:c r="A31" s="16" t="n">
        <x:v>25</x:v>
      </x:c>
      <x:c r="B31" s="10" t="str">
        <x:v>Responsible NLP &amp; evaluation</x:v>
      </x:c>
      <x:c r="C31" s="16" t="n">
        <x:v>5</x:v>
      </x:c>
      <x:c r="D31" s="10" t="str">
        <x:v>2025.emnlp-main.1152</x:v>
      </x:c>
      <x:c r="E31" s="12" t="str">
        <x:v>Transitive self-consistency evaluation of NLI models without gold labels</x:v>
      </x:c>
      <x:c r="F31" s="12" t="str">
        <x:v>Wei Wu; Mark Last</x:v>
      </x:c>
      <x:c r="G31" s="12" t="str">
        <x:v>Natural Language Inference (NLI) is an important task in natural language processing. NLI models are aimed at automatically determining logical relationships between pairs of sentences. However, recent studies based on gold labels assigned to sentence pairs by human experts have provided some evidence that NLI models tend to make inconsistent model decisions during inference. Previous studies have used existing NLI datasets to test the transitive consistency of language models. However, they test only variations of two transitive consistency rules out of four. To further evaluate the transitive consistency of NLI models, we propose a novel evaluation approach that allows us to test all four rules automatically by generating adversarial examples via antonym replacements. Since we are testing self-consistency, human labeling of generated adversarial examples is unnecessary. Our experiments on several benchmark datasets indicate that the examples generated by the proposed antonym replacement methodology can reveal transitive inconsistencies in the state-of-the-art NLI models.</x:v>
      </x:c>
      <x:c r="H31" s="17" t="n">
        <x:v>156</x:v>
      </x:c>
      <x:c r="I31" s="17" t="n">
        <x:v>2</x:v>
      </x:c>
      <x:c r="J31" s="17" t="n">
        <x:v>5</x:v>
      </x:c>
      <x:c r="K31" s="15" t="str">
        <x:v>evaluation</x:v>
      </x:c>
      <x:c r="L31" s="15" t="str">
        <x:v>https://aclanthology.org/2025.emnlp-main.1152/</x:v>
      </x:c>
      <x:c r="M31" s="15" t="str">
        <x:v>https://aclanthology.org/2025.emnlp-main.1152.pdf</x:v>
      </x:c>
      <x:c r="N31" s="15" t="str">
        <x:v>08b066c4912194486131db6d0f5197af4e69c0d95194a7b9b1180570cc717691</x:v>
      </x:c>
      <x:c r="O31" s="1"/>
      <x:c r="P31" s="1"/>
      <x:c r="Q31" s="1"/>
    </x:row>
    <x:row r="32" ht="62" customHeight="1">
      <x:c r="A32" s="16" t="n">
        <x:v>26</x:v>
      </x:c>
      <x:c r="B32" s="10" t="str">
        <x:v>Retrieval &amp; QA</x:v>
      </x:c>
      <x:c r="C32" s="16" t="n">
        <x:v>1</x:v>
      </x:c>
      <x:c r="D32" s="10" t="str">
        <x:v>2025.emnlp-main.136</x:v>
      </x:c>
      <x:c r="E32" s="12" t="str">
        <x:v>S urvey G en: Quality-Aware Scientific Survey Generation with Large Language Models</x:v>
      </x:c>
      <x:c r="F32" s="12" t="str">
        <x:v>Tong Bao; Mir Tafseer Nayeem; Davood Rafiei; Chengzhi Zhang</x:v>
      </x:c>
      <x:c r="G32" s="12" t="str">
        <x:v>Automatic survey generation has emerged as a key task in scientific document processing. While large language models (LLMs) have shown promise in generating survey texts, the lack of standardized evaluation datasets critically hampers rigorous assessment of their performance against human-written surveys. In this work, we present SurveyGen, a large-scale dataset comprising over 4,200 human-written surveys across diverse scientific domains, along with 242,143 cited references and extensive quality-related metadata for both the surveys and the cited papers. Leveraging this resource, we build QUAL-SG, a novel quality-aware framework for survey generation that enhances the standard Retrieval-Augmented Generation (RAG) pipeline by incorporating quality-aware indicators into literature retrieval to assess and select higher-quality source papers. Using this dataset and framework, we systematically evaluate state-of-the-art LLMs under varying levels of human involvement—from fully automatic generation to human-guided writing. Experimental results and human evaluations show that while semi-automatic pipelines can achieve partially competitive outcomes, fully automatic survey generation still suffers from low citation quality and limited critical analysis.</x:v>
      </x:c>
      <x:c r="H32" s="17" t="n">
        <x:v>179</x:v>
      </x:c>
      <x:c r="I32" s="17" t="n">
        <x:v>4</x:v>
      </x:c>
      <x:c r="J32" s="17" t="n">
        <x:v>2</x:v>
      </x:c>
      <x:c r="K32" s="15" t="str">
        <x:v>retrieval, rag</x:v>
      </x:c>
      <x:c r="L32" s="15" t="str">
        <x:v>https://aclanthology.org/2025.emnlp-main.136/</x:v>
      </x:c>
      <x:c r="M32" s="15" t="str">
        <x:v>https://aclanthology.org/2025.emnlp-main.136.pdf</x:v>
      </x:c>
      <x:c r="N32" s="15" t="str">
        <x:v>00238098abb252042a8ac7cbf749766584fe00023ae7c3edc1bb18688699bc28</x:v>
      </x:c>
      <x:c r="O32" s="1"/>
      <x:c r="P32" s="1"/>
      <x:c r="Q32" s="1"/>
    </x:row>
    <x:row r="33" ht="62" customHeight="1">
      <x:c r="A33" s="16" t="n">
        <x:v>27</x:v>
      </x:c>
      <x:c r="B33" s="10" t="str">
        <x:v>Retrieval &amp; QA</x:v>
      </x:c>
      <x:c r="C33" s="16" t="n">
        <x:v>2</x:v>
      </x:c>
      <x:c r="D33" s="10" t="str">
        <x:v>2025.emnlp-main.1061</x:v>
      </x:c>
      <x:c r="E33" s="12" t="str">
        <x:v>Enhancing Large Language Model for Knowledge Graph Completion via Structure-Aware Alignment-Tuning</x:v>
      </x:c>
      <x:c r="F33" s="12" t="str">
        <x:v>Yu Liu; Yanan Cao; Xixun Lin; Yanmin Shang; Shi Wang; Shirui Pan</x:v>
      </x:c>
      <x:c r="G33" s="12" t="str">
        <x:v>Knowledge graph completion (KGC) aims to infer new knowledge and make predictions from knowledge graphs. Recently, large language models (LLMs) have exhibited remarkable reasoning capabilities. LLM-enhanced KGC methods primarily focus on designing task-specific instructions, achieving promising advancements. However, there are still two critical challenges. First, existing methods often ignore the inconsistent representation spaces between natural language and graph structures. Second, most approaches develop separate instructions for different KGC tasks, leading to duplicate works and time-consuming processes. To address these challenges, we propose SAT, a novel framework that enhances LLMs for KGC via structure-aware alignment-tuning. Specifically, we first introduce hierarchical knowledge alignment to align graph embeddings with the natural language space through multi-task contrastive learning. Then, we propose structural instruction tuning to guide LLMs in performing structure-aware reasoning over KGs, using a unified graph instruction combined with a lightweight knowledge adapter. Experimental results on two KGC tasks across four benchmark datasets demonstrate that SAT significantly outperforms state-of-the-art methods, especially in the link prediction task with improvements ranging from 8.7% to 29.8%</x:v>
      </x:c>
      <x:c r="H33" s="17" t="n">
        <x:v>182</x:v>
      </x:c>
      <x:c r="I33" s="17" t="n">
        <x:v>6</x:v>
      </x:c>
      <x:c r="J33" s="17" t="n">
        <x:v>5</x:v>
      </x:c>
      <x:c r="K33" s="15" t="str">
        <x:v>knowledge graph</x:v>
      </x:c>
      <x:c r="L33" s="15" t="str">
        <x:v>https://aclanthology.org/2025.emnlp-main.1061/</x:v>
      </x:c>
      <x:c r="M33" s="15" t="str">
        <x:v>https://aclanthology.org/2025.emnlp-main.1061.pdf</x:v>
      </x:c>
      <x:c r="N33" s="15" t="str">
        <x:v>048a323ab89df08fb0512dd0624e6f7761884e4b220bfb149a45f7d51d7a53ab</x:v>
      </x:c>
      <x:c r="O33" s="1"/>
      <x:c r="P33" s="1"/>
      <x:c r="Q33" s="1"/>
    </x:row>
    <x:row r="34" ht="62" customHeight="1">
      <x:c r="A34" s="16" t="n">
        <x:v>28</x:v>
      </x:c>
      <x:c r="B34" s="10" t="str">
        <x:v>Retrieval &amp; QA</x:v>
      </x:c>
      <x:c r="C34" s="16" t="n">
        <x:v>3</x:v>
      </x:c>
      <x:c r="D34" s="10" t="str">
        <x:v>2025.emnlp-main.1363</x:v>
      </x:c>
      <x:c r="E34" s="12" t="str">
        <x:v>Studying the Role of Input-Neighbor Overlap in Retrieval-Augmented Language Models Training Efficiency</x:v>
      </x:c>
      <x:c r="F34" s="12" t="str">
        <x:v>Ehsan Doostmohammadi; Marco Kuhlmann</x:v>
      </x:c>
      <x:c r="G34" s="12" t="str">
        <x:v>Retrieval-augmented language models have demonstrated performance comparable to much larger models while requiring fewer computational resources. The effectiveness of these models crucially depends on the overlap between query and retrieved context, but the optimal degree of this overlap remains unexplored. In this paper, we systematically investigate how varying levels of query–context overlap affect model performance during both training and inference. Our experiments reveal that increased overlap initially has minimal effect, but substantially improves test-time perplexity and accelerates model learning above a critical threshold. Building on these findings, we demonstrate that deliberately increasing overlap through synthetic context can enhance data efficiency and reduce training time by approximately 40% without compromising performance. We specifically generate synthetic context through paraphrasing queries. We validate our perplexity-based findings on question-answering tasks, confirming that the benefits of retrieval-augmented language modeling extend to practical applications. Our results provide empirical evidence of significant optimization potential for retrieval mechanisms in language model pretraining.</x:v>
      </x:c>
      <x:c r="H34" s="17" t="n">
        <x:v>160</x:v>
      </x:c>
      <x:c r="I34" s="17" t="n">
        <x:v>2</x:v>
      </x:c>
      <x:c r="J34" s="17" t="n">
        <x:v>5</x:v>
      </x:c>
      <x:c r="K34" s="15" t="str">
        <x:v>retrieval</x:v>
      </x:c>
      <x:c r="L34" s="15" t="str">
        <x:v>https://aclanthology.org/2025.emnlp-main.1363/</x:v>
      </x:c>
      <x:c r="M34" s="15" t="str">
        <x:v>https://aclanthology.org/2025.emnlp-main.1363.pdf</x:v>
      </x:c>
      <x:c r="N34" s="15" t="str">
        <x:v>0694233649f02362cd90c025649859288fe0ba5b32e9d3a9f3f704115f8df4f2</x:v>
      </x:c>
      <x:c r="O34" s="1"/>
      <x:c r="P34" s="1"/>
      <x:c r="Q34" s="1"/>
    </x:row>
    <x:row r="35" ht="62" customHeight="1">
      <x:c r="A35" s="16" t="n">
        <x:v>29</x:v>
      </x:c>
      <x:c r="B35" s="10" t="str">
        <x:v>Retrieval &amp; QA</x:v>
      </x:c>
      <x:c r="C35" s="16" t="n">
        <x:v>4</x:v>
      </x:c>
      <x:c r="D35" s="10" t="str">
        <x:v>2025.emnlp-main.1656</x:v>
      </x:c>
      <x:c r="E35" s="12" t="str">
        <x:v>Stronger Baselines for Retrieval-Augmented Generation with Long-Context Language Models</x:v>
      </x:c>
      <x:c r="F35" s="12" t="str">
        <x:v>Alex Laitenberger; Christopher D Manning; Nelson F. Liu</x:v>
      </x:c>
      <x:c r="G35" s="12" t="str">
        <x:v>With the rise of long-context language models (LMs) capable of processing tens of thousands of tokens in a single context window, do multi-stage retrieval-augmented generation (RAG) pipelines still offer measurable benefits over simpler, single-stage approaches? To assess this question, we conduct a controlled evaluation for QA tasks under systematically scaled token budgets, comparing two recent multi-stage pipelines, ReadAgent and RAPTOR, against three baselines, including DOS RAG (Document’s Original Structure RAG), a simple retrieve-then-read method that preserves original passage order. Despite its straightforward design, DOS RAG consistently matches or outperforms more intricate methods on multiple long-context QA benchmarks. We trace this strength to a combination of maintaining source fidelity and document structure, prioritizing recall within effective context windows, and favoring simplicity over added pipeline complexity. We recommend establishing DOS RAG as a simple yet strong baseline for future RAG evaluations, paired with state-of-the-art embedding and language models, and benchmarked under matched token budgets, to ensure that added pipeline complexity is justified by clear performance gains as models continue to improve.</x:v>
      </x:c>
      <x:c r="H35" s="17" t="n">
        <x:v>181</x:v>
      </x:c>
      <x:c r="I35" s="17" t="n">
        <x:v>3</x:v>
      </x:c>
      <x:c r="J35" s="17" t="n">
        <x:v>7</x:v>
      </x:c>
      <x:c r="K35" s="15" t="str">
        <x:v>retrieval, rag, qa</x:v>
      </x:c>
      <x:c r="L35" s="15" t="str">
        <x:v>https://aclanthology.org/2025.emnlp-main.1656/</x:v>
      </x:c>
      <x:c r="M35" s="15" t="str">
        <x:v>https://aclanthology.org/2025.emnlp-main.1656.pdf</x:v>
      </x:c>
      <x:c r="N35" s="15" t="str">
        <x:v>073a78860fffd3c5f1146360149112a5780de9baad8c5615f7e3e41ad7391248</x:v>
      </x:c>
      <x:c r="O35" s="1"/>
      <x:c r="P35" s="1"/>
      <x:c r="Q35" s="1"/>
    </x:row>
    <x:row r="36" ht="62" customHeight="1">
      <x:c r="A36" s="16" t="n">
        <x:v>30</x:v>
      </x:c>
      <x:c r="B36" s="10" t="str">
        <x:v>Retrieval &amp; QA</x:v>
      </x:c>
      <x:c r="C36" s="16" t="n">
        <x:v>5</x:v>
      </x:c>
      <x:c r="D36" s="10" t="str">
        <x:v>2025.emnlp-main.442</x:v>
      </x:c>
      <x:c r="E36" s="12" t="str">
        <x:v>Beyond Seen Data: Improving KBQA Generalization Through Schema-Guided Logical Form Generation</x:v>
      </x:c>
      <x:c r="F36" s="12" t="str">
        <x:v>Shengxiang Gao; Jey Han Lau; Jianzhong Qi</x:v>
      </x:c>
      <x:c r="G36" s="12" t="str">
        <x:v>Knowledge base question answering (KBQA) aims to answer user questions in natural language using rich human knowledge stored in large KBs. As current KBQA methods struggle with unseen knowledge base elements and their novel compositions at test time, we introduce SG-KBQA — a novel model that injects schema contexts into entity retrieval and logical form generation to tackle this issue. It exploits information about the semantics and structure of the knowledge base provided by schema contexts to enhance generalizability. We show that achieves strong generalizability, outperforming state-of-the-art models on two commonly used benchmark datasets across a variety of test settings. Our source code is available at https://github.com/gaosx2000/SG_KBQA .</x:v>
      </x:c>
      <x:c r="H36" s="17" t="n">
        <x:v>114</x:v>
      </x:c>
      <x:c r="I36" s="17" t="n">
        <x:v>3</x:v>
      </x:c>
      <x:c r="J36" s="17" t="n">
        <x:v>3</x:v>
      </x:c>
      <x:c r="K36" s="15" t="str">
        <x:v>retrieval, question answering, knowledge base</x:v>
      </x:c>
      <x:c r="L36" s="15" t="str">
        <x:v>https://aclanthology.org/2025.emnlp-main.442/</x:v>
      </x:c>
      <x:c r="M36" s="15" t="str">
        <x:v>https://aclanthology.org/2025.emnlp-main.442.pdf</x:v>
      </x:c>
      <x:c r="N36" s="15" t="str">
        <x:v>09f03ae60ca428dd453633000d896c59dcb45be11a492815994b95e8522ba3db</x:v>
      </x:c>
      <x:c r="O36" s="1"/>
      <x:c r="P36" s="1"/>
      <x:c r="Q36" s="1"/>
    </x:row>
    <x:row r="37">
      <x:c r="A37" s="1"/>
      <x:c r="B37" s="1"/>
      <x:c r="C37" s="1"/>
      <x:c r="D37" s="1"/>
      <x:c r="E37" s="1"/>
      <x:c r="F37" s="1"/>
      <x:c r="G37" s="1"/>
      <x:c r="H37" s="1"/>
      <x:c r="I37" s="1"/>
      <x:c r="J37" s="1"/>
      <x:c r="K37" s="1"/>
      <x:c r="L37" s="1"/>
      <x:c r="M37" s="1"/>
      <x:c r="N37" s="1"/>
      <x:c r="O37" s="1"/>
      <x:c r="P37" s="1"/>
      <x:c r="Q37" s="1"/>
    </x:row>
    <x:row r="38">
      <x:c r="A38" s="1"/>
      <x:c r="B38" s="1"/>
      <x:c r="C38" s="1"/>
      <x:c r="D38" s="1"/>
      <x:c r="E38" s="1"/>
      <x:c r="F38" s="1"/>
      <x:c r="G38" s="1"/>
      <x:c r="H38" s="1"/>
      <x:c r="I38" s="1"/>
      <x:c r="J38" s="1"/>
      <x:c r="K38" s="1"/>
      <x:c r="L38" s="1"/>
      <x:c r="M38" s="1"/>
      <x:c r="N38" s="1"/>
      <x:c r="O38" s="1"/>
      <x:c r="P38" s="1"/>
      <x:c r="Q38" s="1"/>
    </x:row>
    <x:row r="39">
      <x:c r="A39" s="1"/>
      <x:c r="B39" s="1"/>
      <x:c r="C39" s="1"/>
      <x:c r="D39" s="1"/>
      <x:c r="E39" s="1"/>
      <x:c r="F39" s="1"/>
      <x:c r="G39" s="1"/>
      <x:c r="H39" s="1"/>
      <x:c r="I39" s="1"/>
      <x:c r="J39" s="1"/>
      <x:c r="K39" s="1"/>
      <x:c r="L39" s="1"/>
      <x:c r="M39" s="1"/>
      <x:c r="N39" s="1"/>
      <x:c r="O39" s="1"/>
      <x:c r="P39" s="1"/>
      <x:c r="Q39" s="1"/>
    </x:row>
    <x:row r="40">
      <x:c r="A40" s="1"/>
      <x:c r="B40" s="1"/>
      <x:c r="C40" s="1"/>
      <x:c r="D40" s="1"/>
      <x:c r="E40" s="1"/>
      <x:c r="F40" s="1"/>
      <x:c r="G40" s="1"/>
      <x:c r="H40" s="1"/>
      <x:c r="I40" s="1"/>
      <x:c r="J40" s="1"/>
      <x:c r="K40" s="1"/>
      <x:c r="L40" s="1"/>
      <x:c r="M40" s="1"/>
      <x:c r="N40" s="1"/>
      <x:c r="O40" s="1"/>
      <x:c r="P40" s="1"/>
      <x:c r="Q40" s="1"/>
    </x:row>
    <x:row r="41">
      <x:c r="A41" s="1"/>
      <x:c r="B41" s="1"/>
      <x:c r="C41" s="1"/>
      <x:c r="D41" s="1"/>
      <x:c r="E41" s="1"/>
      <x:c r="F41" s="1"/>
      <x:c r="G41" s="1"/>
      <x:c r="H41" s="1"/>
      <x:c r="I41" s="1"/>
      <x:c r="J41" s="1"/>
      <x:c r="K41" s="1"/>
      <x:c r="L41" s="1"/>
      <x:c r="M41" s="1"/>
      <x:c r="N41" s="1"/>
      <x:c r="O41" s="1"/>
      <x:c r="P41" s="1"/>
      <x:c r="Q41" s="1"/>
    </x:row>
    <x:row r="42">
      <x:c r="A42" s="1"/>
      <x:c r="B42" s="1"/>
      <x:c r="C42" s="1"/>
      <x:c r="D42" s="1"/>
      <x:c r="E42" s="1"/>
      <x:c r="F42" s="1"/>
      <x:c r="G42" s="1"/>
      <x:c r="H42" s="1"/>
      <x:c r="I42" s="1"/>
      <x:c r="J42" s="1"/>
      <x:c r="K42" s="1"/>
      <x:c r="L42" s="1"/>
      <x:c r="M42" s="1"/>
      <x:c r="N42" s="1"/>
      <x:c r="O42" s="1"/>
      <x:c r="P42" s="1"/>
      <x:c r="Q42" s="1"/>
    </x:row>
    <x:row r="43">
      <x:c r="A43" s="1"/>
      <x:c r="B43" s="1"/>
      <x:c r="C43" s="1"/>
      <x:c r="D43" s="1"/>
      <x:c r="E43" s="1"/>
      <x:c r="F43" s="1"/>
      <x:c r="G43" s="1"/>
      <x:c r="H43" s="1"/>
      <x:c r="I43" s="1"/>
      <x:c r="J43" s="1"/>
      <x:c r="K43" s="1"/>
      <x:c r="L43" s="1"/>
      <x:c r="M43" s="1"/>
      <x:c r="N43" s="1"/>
      <x:c r="O43" s="1"/>
      <x:c r="P43" s="1"/>
      <x:c r="Q43" s="1"/>
    </x:row>
    <x:row r="44">
      <x:c r="A44" s="1"/>
      <x:c r="B44" s="1"/>
      <x:c r="C44" s="1"/>
      <x:c r="D44" s="1"/>
      <x:c r="E44" s="1"/>
      <x:c r="F44" s="1"/>
      <x:c r="G44" s="1"/>
      <x:c r="H44" s="1"/>
      <x:c r="I44" s="1"/>
      <x:c r="J44" s="1"/>
      <x:c r="K44" s="1"/>
      <x:c r="L44" s="1"/>
      <x:c r="M44" s="1"/>
      <x:c r="N44" s="1"/>
      <x:c r="O44" s="1"/>
      <x:c r="P44" s="1"/>
      <x:c r="Q44" s="1"/>
    </x:row>
    <x:row r="45">
      <x:c r="A45" s="1"/>
      <x:c r="B45" s="1"/>
      <x:c r="C45" s="1"/>
      <x:c r="D45" s="1"/>
      <x:c r="E45" s="1"/>
      <x:c r="F45" s="1"/>
      <x:c r="G45" s="1"/>
      <x:c r="H45" s="1"/>
      <x:c r="I45" s="1"/>
      <x:c r="J45" s="1"/>
      <x:c r="K45" s="1"/>
      <x:c r="L45" s="1"/>
      <x:c r="M45" s="1"/>
      <x:c r="N45" s="1"/>
      <x:c r="O45" s="1"/>
      <x:c r="P45" s="1"/>
      <x:c r="Q45" s="1"/>
    </x:row>
    <x:row r="46">
      <x:c r="A46" s="1"/>
      <x:c r="B46" s="1"/>
      <x:c r="C46" s="1"/>
      <x:c r="D46" s="1"/>
      <x:c r="E46" s="1"/>
      <x:c r="F46" s="1"/>
      <x:c r="G46" s="1"/>
      <x:c r="H46" s="1"/>
      <x:c r="I46" s="1"/>
      <x:c r="J46" s="1"/>
      <x:c r="K46" s="1"/>
      <x:c r="L46" s="1"/>
      <x:c r="M46" s="1"/>
      <x:c r="N46" s="1"/>
      <x:c r="O46" s="1"/>
      <x:c r="P46" s="1"/>
      <x:c r="Q46" s="1"/>
    </x:row>
    <x:row r="47">
      <x:c r="A47" s="1"/>
      <x:c r="B47" s="1"/>
      <x:c r="C47" s="1"/>
      <x:c r="D47" s="1"/>
      <x:c r="E47" s="1"/>
      <x:c r="F47" s="1"/>
      <x:c r="G47" s="1"/>
      <x:c r="H47" s="1"/>
      <x:c r="I47" s="1"/>
      <x:c r="J47" s="1"/>
      <x:c r="K47" s="1"/>
      <x:c r="L47" s="1"/>
      <x:c r="M47" s="1"/>
      <x:c r="N47" s="1"/>
      <x:c r="O47" s="1"/>
      <x:c r="P47" s="1"/>
      <x:c r="Q47" s="1"/>
    </x:row>
    <x:row r="48">
      <x:c r="A48" s="1"/>
      <x:c r="B48" s="1"/>
      <x:c r="C48" s="1"/>
      <x:c r="D48" s="1"/>
      <x:c r="E48" s="1"/>
      <x:c r="F48" s="1"/>
      <x:c r="G48" s="1"/>
      <x:c r="H48" s="1"/>
      <x:c r="I48" s="1"/>
      <x:c r="J48" s="1"/>
      <x:c r="K48" s="1"/>
      <x:c r="L48" s="1"/>
      <x:c r="M48" s="1"/>
      <x:c r="N48" s="1"/>
      <x:c r="O48" s="1"/>
      <x:c r="P48" s="1"/>
      <x:c r="Q48" s="1"/>
    </x:row>
    <x:row r="49">
      <x:c r="A49" s="1"/>
      <x:c r="B49" s="1"/>
      <x:c r="C49" s="1"/>
      <x:c r="D49" s="1"/>
      <x:c r="E49" s="1"/>
      <x:c r="F49" s="1"/>
      <x:c r="G49" s="1"/>
      <x:c r="H49" s="1"/>
      <x:c r="I49" s="1"/>
      <x:c r="J49" s="1"/>
      <x:c r="K49" s="1"/>
      <x:c r="L49" s="1"/>
      <x:c r="M49" s="1"/>
      <x:c r="N49" s="1"/>
      <x:c r="O49" s="1"/>
      <x:c r="P49" s="1"/>
      <x:c r="Q49" s="1"/>
    </x:row>
    <x:row r="50">
      <x:c r="A50" s="1"/>
      <x:c r="B50" s="1"/>
      <x:c r="C50" s="1"/>
      <x:c r="D50" s="1"/>
      <x:c r="E50" s="1"/>
      <x:c r="F50" s="1"/>
      <x:c r="G50" s="1"/>
      <x:c r="H50" s="1"/>
      <x:c r="I50" s="1"/>
      <x:c r="J50" s="1"/>
      <x:c r="K50" s="1"/>
      <x:c r="L50" s="1"/>
      <x:c r="M50" s="1"/>
      <x:c r="N50" s="1"/>
      <x:c r="O50" s="1"/>
      <x:c r="P50" s="1"/>
      <x:c r="Q50" s="1"/>
    </x:row>
    <x:row r="51">
      <x:c r="A51" s="1"/>
      <x:c r="B51" s="1"/>
      <x:c r="C51" s="1"/>
      <x:c r="D51" s="1"/>
      <x:c r="E51" s="1"/>
      <x:c r="F51" s="1"/>
      <x:c r="G51" s="1"/>
      <x:c r="H51" s="1"/>
      <x:c r="I51" s="1"/>
      <x:c r="J51" s="1"/>
      <x:c r="K51" s="1"/>
      <x:c r="L51" s="1"/>
      <x:c r="M51" s="1"/>
      <x:c r="N51" s="1"/>
      <x:c r="O51" s="1"/>
      <x:c r="P51" s="1"/>
      <x:c r="Q51" s="1"/>
    </x:row>
    <x:row r="52">
      <x:c r="A52" s="1"/>
      <x:c r="B52" s="1"/>
      <x:c r="C52" s="1"/>
      <x:c r="D52" s="1"/>
      <x:c r="E52" s="1"/>
      <x:c r="F52" s="1"/>
      <x:c r="G52" s="1"/>
      <x:c r="H52" s="1"/>
      <x:c r="I52" s="1"/>
      <x:c r="J52" s="1"/>
      <x:c r="K52" s="1"/>
      <x:c r="L52" s="1"/>
      <x:c r="M52" s="1"/>
      <x:c r="N52" s="1"/>
      <x:c r="O52" s="1"/>
      <x:c r="P52" s="1"/>
      <x:c r="Q52" s="1"/>
    </x:row>
    <x:row r="53">
      <x:c r="A53" s="1"/>
      <x:c r="B53" s="1"/>
      <x:c r="C53" s="1"/>
      <x:c r="D53" s="1"/>
      <x:c r="E53" s="1"/>
      <x:c r="F53" s="1"/>
      <x:c r="G53" s="1"/>
      <x:c r="H53" s="1"/>
      <x:c r="I53" s="1"/>
      <x:c r="J53" s="1"/>
      <x:c r="K53" s="1"/>
      <x:c r="L53" s="1"/>
      <x:c r="M53" s="1"/>
      <x:c r="N53" s="1"/>
      <x:c r="O53" s="1"/>
      <x:c r="P53" s="1"/>
      <x:c r="Q53" s="1"/>
    </x:row>
    <x:row r="54">
      <x:c r="A54" s="1"/>
      <x:c r="B54" s="1"/>
      <x:c r="C54" s="1"/>
      <x:c r="D54" s="1"/>
      <x:c r="E54" s="1"/>
      <x:c r="F54" s="1"/>
      <x:c r="G54" s="1"/>
      <x:c r="H54" s="1"/>
      <x:c r="I54" s="1"/>
      <x:c r="J54" s="1"/>
      <x:c r="K54" s="1"/>
      <x:c r="L54" s="1"/>
      <x:c r="M54" s="1"/>
      <x:c r="N54" s="1"/>
      <x:c r="O54" s="1"/>
      <x:c r="P54" s="1"/>
      <x:c r="Q54" s="1"/>
    </x:row>
    <x:row r="55">
      <x:c r="A55" s="1"/>
      <x:c r="B55" s="1"/>
      <x:c r="C55" s="1"/>
      <x:c r="D55" s="1"/>
      <x:c r="E55" s="1"/>
      <x:c r="F55" s="1"/>
      <x:c r="G55" s="1"/>
      <x:c r="H55" s="1"/>
      <x:c r="I55" s="1"/>
      <x:c r="J55" s="1"/>
      <x:c r="K55" s="1"/>
      <x:c r="L55" s="1"/>
      <x:c r="M55" s="1"/>
      <x:c r="N55" s="1"/>
      <x:c r="O55" s="1"/>
      <x:c r="P55" s="1"/>
      <x:c r="Q55" s="1"/>
    </x:row>
    <x:row r="56">
      <x:c r="A56" s="1"/>
      <x:c r="B56" s="1"/>
      <x:c r="C56" s="1"/>
      <x:c r="D56" s="1"/>
      <x:c r="E56" s="1"/>
      <x:c r="F56" s="1"/>
      <x:c r="G56" s="1"/>
      <x:c r="H56" s="1"/>
      <x:c r="I56" s="1"/>
      <x:c r="J56" s="1"/>
      <x:c r="K56" s="1"/>
      <x:c r="L56" s="1"/>
      <x:c r="M56" s="1"/>
      <x:c r="N56" s="1"/>
      <x:c r="O56" s="1"/>
      <x:c r="P56" s="1"/>
      <x:c r="Q56" s="1"/>
    </x:row>
    <x:row r="57">
      <x:c r="A57" s="1"/>
      <x:c r="B57" s="1"/>
      <x:c r="C57" s="1"/>
      <x:c r="D57" s="1"/>
      <x:c r="E57" s="1"/>
      <x:c r="F57" s="1"/>
      <x:c r="G57" s="1"/>
      <x:c r="H57" s="1"/>
      <x:c r="I57" s="1"/>
      <x:c r="J57" s="1"/>
      <x:c r="K57" s="1"/>
      <x:c r="L57" s="1"/>
      <x:c r="M57" s="1"/>
      <x:c r="N57" s="1"/>
      <x:c r="O57" s="1"/>
      <x:c r="P57" s="1"/>
      <x:c r="Q57" s="1"/>
    </x:row>
    <x:row r="58">
      <x:c r="A58" s="1"/>
      <x:c r="B58" s="1"/>
      <x:c r="C58" s="1"/>
      <x:c r="D58" s="1"/>
      <x:c r="E58" s="1"/>
      <x:c r="F58" s="1"/>
      <x:c r="G58" s="1"/>
      <x:c r="H58" s="1"/>
      <x:c r="I58" s="1"/>
      <x:c r="J58" s="1"/>
      <x:c r="K58" s="1"/>
      <x:c r="L58" s="1"/>
      <x:c r="M58" s="1"/>
      <x:c r="N58" s="1"/>
      <x:c r="O58" s="1"/>
      <x:c r="P58" s="1"/>
      <x:c r="Q58" s="1"/>
    </x:row>
    <x:row r="59">
      <x:c r="A59" s="1"/>
      <x:c r="B59" s="1"/>
      <x:c r="C59" s="1"/>
      <x:c r="D59" s="1"/>
      <x:c r="E59" s="1"/>
      <x:c r="F59" s="1"/>
      <x:c r="G59" s="1"/>
      <x:c r="H59" s="1"/>
      <x:c r="I59" s="1"/>
      <x:c r="J59" s="1"/>
      <x:c r="K59" s="1"/>
      <x:c r="L59" s="1"/>
      <x:c r="M59" s="1"/>
      <x:c r="N59" s="1"/>
      <x:c r="O59" s="1"/>
      <x:c r="P59" s="1"/>
      <x:c r="Q59" s="1"/>
    </x:row>
    <x:row r="60">
      <x:c r="A60" s="1"/>
      <x:c r="B60" s="1"/>
      <x:c r="C60" s="1"/>
      <x:c r="D60" s="1"/>
      <x:c r="E60" s="1"/>
      <x:c r="F60" s="1"/>
      <x:c r="G60" s="1"/>
      <x:c r="H60" s="1"/>
      <x:c r="I60" s="1"/>
      <x:c r="J60" s="1"/>
      <x:c r="K60" s="1"/>
      <x:c r="L60" s="1"/>
      <x:c r="M60" s="1"/>
      <x:c r="N60" s="1"/>
      <x:c r="O60" s="1"/>
      <x:c r="P60" s="1"/>
      <x:c r="Q60" s="1"/>
    </x:row>
    <x:row r="61">
      <x:c r="A61" s="1"/>
      <x:c r="B61" s="1"/>
      <x:c r="C61" s="1"/>
      <x:c r="D61" s="1"/>
      <x:c r="E61" s="1"/>
      <x:c r="F61" s="1"/>
      <x:c r="G61" s="1"/>
      <x:c r="H61" s="1"/>
      <x:c r="I61" s="1"/>
      <x:c r="J61" s="1"/>
      <x:c r="K61" s="1"/>
      <x:c r="L61" s="1"/>
      <x:c r="M61" s="1"/>
      <x:c r="N61" s="1"/>
      <x:c r="O61" s="1"/>
      <x:c r="P61" s="1"/>
      <x:c r="Q61" s="1"/>
    </x:row>
    <x:row r="62">
      <x:c r="A62" s="1"/>
      <x:c r="B62" s="1"/>
      <x:c r="C62" s="1"/>
      <x:c r="D62" s="1"/>
      <x:c r="E62" s="1"/>
      <x:c r="F62" s="1"/>
      <x:c r="G62" s="1"/>
      <x:c r="H62" s="1"/>
      <x:c r="I62" s="1"/>
      <x:c r="J62" s="1"/>
      <x:c r="K62" s="1"/>
      <x:c r="L62" s="1"/>
      <x:c r="M62" s="1"/>
      <x:c r="N62" s="1"/>
      <x:c r="O62" s="1"/>
      <x:c r="P62" s="1"/>
      <x:c r="Q62" s="1"/>
    </x:row>
    <x:row r="63">
      <x:c r="A63" s="1"/>
      <x:c r="B63" s="1"/>
      <x:c r="C63" s="1"/>
      <x:c r="D63" s="1"/>
      <x:c r="E63" s="1"/>
      <x:c r="F63" s="1"/>
      <x:c r="G63" s="1"/>
      <x:c r="H63" s="1"/>
      <x:c r="I63" s="1"/>
      <x:c r="J63" s="1"/>
      <x:c r="K63" s="1"/>
      <x:c r="L63" s="1"/>
      <x:c r="M63" s="1"/>
      <x:c r="N63" s="1"/>
      <x:c r="O63" s="1"/>
      <x:c r="P63" s="1"/>
      <x:c r="Q63" s="1"/>
    </x:row>
    <x:row r="64">
      <x:c r="A64" s="1"/>
      <x:c r="B64" s="1"/>
      <x:c r="C64" s="1"/>
      <x:c r="D64" s="1"/>
      <x:c r="E64" s="1"/>
      <x:c r="F64" s="1"/>
      <x:c r="G64" s="1"/>
      <x:c r="H64" s="1"/>
      <x:c r="I64" s="1"/>
      <x:c r="J64" s="1"/>
      <x:c r="K64" s="1"/>
      <x:c r="L64" s="1"/>
      <x:c r="M64" s="1"/>
      <x:c r="N64" s="1"/>
      <x:c r="O64" s="1"/>
      <x:c r="P64" s="1"/>
      <x:c r="Q64" s="1"/>
    </x:row>
    <x:row r="65">
      <x:c r="A65" s="1"/>
      <x:c r="B65" s="1"/>
      <x:c r="C65" s="1"/>
      <x:c r="D65" s="1"/>
      <x:c r="E65" s="1"/>
      <x:c r="F65" s="1"/>
      <x:c r="G65" s="1"/>
      <x:c r="H65" s="1"/>
      <x:c r="I65" s="1"/>
      <x:c r="J65" s="1"/>
      <x:c r="K65" s="1"/>
      <x:c r="L65" s="1"/>
      <x:c r="M65" s="1"/>
      <x:c r="N65" s="1"/>
      <x:c r="O65" s="1"/>
      <x:c r="P65" s="1"/>
      <x:c r="Q65" s="1"/>
    </x:row>
    <x:row r="66">
      <x:c r="A66" s="1"/>
      <x:c r="B66" s="1"/>
      <x:c r="C66" s="1"/>
      <x:c r="D66" s="1"/>
      <x:c r="E66" s="1"/>
      <x:c r="F66" s="1"/>
      <x:c r="G66" s="1"/>
      <x:c r="H66" s="1"/>
      <x:c r="I66" s="1"/>
      <x:c r="J66" s="1"/>
      <x:c r="K66" s="1"/>
      <x:c r="L66" s="1"/>
      <x:c r="M66" s="1"/>
      <x:c r="N66" s="1"/>
      <x:c r="O66" s="1"/>
      <x:c r="P66" s="1"/>
      <x:c r="Q66" s="1"/>
    </x:row>
    <x:row r="67">
      <x:c r="A67" s="1"/>
      <x:c r="B67" s="1"/>
      <x:c r="C67" s="1"/>
      <x:c r="D67" s="1"/>
      <x:c r="E67" s="1"/>
      <x:c r="F67" s="1"/>
      <x:c r="G67" s="1"/>
      <x:c r="H67" s="1"/>
      <x:c r="I67" s="1"/>
      <x:c r="J67" s="1"/>
      <x:c r="K67" s="1"/>
      <x:c r="L67" s="1"/>
      <x:c r="M67" s="1"/>
      <x:c r="N67" s="1"/>
      <x:c r="O67" s="1"/>
      <x:c r="P67" s="1"/>
      <x:c r="Q67" s="1"/>
    </x:row>
    <x:row r="68">
      <x:c r="A68" s="1"/>
      <x:c r="B68" s="1"/>
      <x:c r="C68" s="1"/>
      <x:c r="D68" s="1"/>
      <x:c r="E68" s="1"/>
      <x:c r="F68" s="1"/>
      <x:c r="G68" s="1"/>
      <x:c r="H68" s="1"/>
      <x:c r="I68" s="1"/>
      <x:c r="J68" s="1"/>
      <x:c r="K68" s="1"/>
      <x:c r="L68" s="1"/>
      <x:c r="M68" s="1"/>
      <x:c r="N68" s="1"/>
      <x:c r="O68" s="1"/>
      <x:c r="P68" s="1"/>
      <x:c r="Q68" s="1"/>
    </x:row>
    <x:row r="69">
      <x:c r="A69" s="1"/>
      <x:c r="B69" s="1"/>
      <x:c r="C69" s="1"/>
      <x:c r="D69" s="1"/>
      <x:c r="E69" s="1"/>
      <x:c r="F69" s="1"/>
      <x:c r="G69" s="1"/>
      <x:c r="H69" s="1"/>
      <x:c r="I69" s="1"/>
      <x:c r="J69" s="1"/>
      <x:c r="K69" s="1"/>
      <x:c r="L69" s="1"/>
      <x:c r="M69" s="1"/>
      <x:c r="N69" s="1"/>
      <x:c r="O69" s="1"/>
      <x:c r="P69" s="1"/>
      <x:c r="Q69" s="1"/>
    </x:row>
    <x:row r="70">
      <x:c r="A70" s="1"/>
      <x:c r="B70" s="1"/>
      <x:c r="C70" s="1"/>
      <x:c r="D70" s="1"/>
      <x:c r="E70" s="1"/>
      <x:c r="F70" s="1"/>
      <x:c r="G70" s="1"/>
      <x:c r="H70" s="1"/>
      <x:c r="I70" s="1"/>
      <x:c r="J70" s="1"/>
      <x:c r="K70" s="1"/>
      <x:c r="L70" s="1"/>
      <x:c r="M70" s="1"/>
      <x:c r="N70" s="1"/>
      <x:c r="O70" s="1"/>
      <x:c r="P70" s="1"/>
      <x:c r="Q70" s="1"/>
    </x:row>
    <x:row r="71">
      <x:c r="A71" s="1"/>
      <x:c r="B71" s="1"/>
      <x:c r="C71" s="1"/>
      <x:c r="D71" s="1"/>
      <x:c r="E71" s="1"/>
      <x:c r="F71" s="1"/>
      <x:c r="G71" s="1"/>
      <x:c r="H71" s="1"/>
      <x:c r="I71" s="1"/>
      <x:c r="J71" s="1"/>
      <x:c r="K71" s="1"/>
      <x:c r="L71" s="1"/>
      <x:c r="M71" s="1"/>
      <x:c r="N71" s="1"/>
      <x:c r="O71" s="1"/>
      <x:c r="P71" s="1"/>
      <x:c r="Q71" s="1"/>
    </x:row>
    <x:row r="72">
      <x:c r="A72" s="1"/>
      <x:c r="B72" s="1"/>
      <x:c r="C72" s="1"/>
      <x:c r="D72" s="1"/>
      <x:c r="E72" s="1"/>
      <x:c r="F72" s="1"/>
      <x:c r="G72" s="1"/>
      <x:c r="H72" s="1"/>
      <x:c r="I72" s="1"/>
      <x:c r="J72" s="1"/>
      <x:c r="K72" s="1"/>
      <x:c r="L72" s="1"/>
      <x:c r="M72" s="1"/>
      <x:c r="N72" s="1"/>
      <x:c r="O72" s="1"/>
      <x:c r="P72" s="1"/>
      <x:c r="Q72" s="1"/>
    </x:row>
    <x:row r="73">
      <x:c r="A73" s="1"/>
      <x:c r="B73" s="1"/>
      <x:c r="C73" s="1"/>
      <x:c r="D73" s="1"/>
      <x:c r="E73" s="1"/>
      <x:c r="F73" s="1"/>
      <x:c r="G73" s="1"/>
      <x:c r="H73" s="1"/>
      <x:c r="I73" s="1"/>
      <x:c r="J73" s="1"/>
      <x:c r="K73" s="1"/>
      <x:c r="L73" s="1"/>
      <x:c r="M73" s="1"/>
      <x:c r="N73" s="1"/>
      <x:c r="O73" s="1"/>
      <x:c r="P73" s="1"/>
      <x:c r="Q73" s="1"/>
    </x:row>
    <x:row r="74">
      <x:c r="A74" s="1"/>
      <x:c r="B74" s="1"/>
      <x:c r="C74" s="1"/>
      <x:c r="D74" s="1"/>
      <x:c r="E74" s="1"/>
      <x:c r="F74" s="1"/>
      <x:c r="G74" s="1"/>
      <x:c r="H74" s="1"/>
      <x:c r="I74" s="1"/>
      <x:c r="J74" s="1"/>
      <x:c r="K74" s="1"/>
      <x:c r="L74" s="1"/>
      <x:c r="M74" s="1"/>
      <x:c r="N74" s="1"/>
      <x:c r="O74" s="1"/>
      <x:c r="P74" s="1"/>
      <x:c r="Q74" s="1"/>
    </x:row>
    <x:row r="75">
      <x:c r="A75" s="1"/>
      <x:c r="B75" s="1"/>
      <x:c r="C75" s="1"/>
      <x:c r="D75" s="1"/>
      <x:c r="E75" s="1"/>
      <x:c r="F75" s="1"/>
      <x:c r="G75" s="1"/>
      <x:c r="H75" s="1"/>
      <x:c r="I75" s="1"/>
      <x:c r="J75" s="1"/>
      <x:c r="K75" s="1"/>
      <x:c r="L75" s="1"/>
      <x:c r="M75" s="1"/>
      <x:c r="N75" s="1"/>
      <x:c r="O75" s="1"/>
      <x:c r="P75" s="1"/>
      <x:c r="Q75" s="1"/>
    </x:row>
    <x:row r="76">
      <x:c r="A76" s="1"/>
      <x:c r="B76" s="1"/>
      <x:c r="C76" s="1"/>
      <x:c r="D76" s="1"/>
      <x:c r="E76" s="1"/>
      <x:c r="F76" s="1"/>
      <x:c r="G76" s="1"/>
      <x:c r="H76" s="1"/>
      <x:c r="I76" s="1"/>
      <x:c r="J76" s="1"/>
      <x:c r="K76" s="1"/>
      <x:c r="L76" s="1"/>
      <x:c r="M76" s="1"/>
      <x:c r="N76" s="1"/>
      <x:c r="O76" s="1"/>
      <x:c r="P76" s="1"/>
      <x:c r="Q76" s="1"/>
    </x:row>
    <x:row r="77">
      <x:c r="A77" s="1"/>
      <x:c r="B77" s="1"/>
      <x:c r="C77" s="1"/>
      <x:c r="D77" s="1"/>
      <x:c r="E77" s="1"/>
      <x:c r="F77" s="1"/>
      <x:c r="G77" s="1"/>
      <x:c r="H77" s="1"/>
      <x:c r="I77" s="1"/>
      <x:c r="J77" s="1"/>
      <x:c r="K77" s="1"/>
      <x:c r="L77" s="1"/>
      <x:c r="M77" s="1"/>
      <x:c r="N77" s="1"/>
      <x:c r="O77" s="1"/>
      <x:c r="P77" s="1"/>
      <x:c r="Q77" s="1"/>
    </x:row>
    <x:row r="78">
      <x:c r="A78" s="1"/>
      <x:c r="B78" s="1"/>
      <x:c r="C78" s="1"/>
      <x:c r="D78" s="1"/>
      <x:c r="E78" s="1"/>
      <x:c r="F78" s="1"/>
      <x:c r="G78" s="1"/>
      <x:c r="H78" s="1"/>
      <x:c r="I78" s="1"/>
      <x:c r="J78" s="1"/>
      <x:c r="K78" s="1"/>
      <x:c r="L78" s="1"/>
      <x:c r="M78" s="1"/>
      <x:c r="N78" s="1"/>
      <x:c r="O78" s="1"/>
      <x:c r="P78" s="1"/>
      <x:c r="Q78" s="1"/>
    </x:row>
    <x:row r="79">
      <x:c r="A79" s="1"/>
      <x:c r="B79" s="1"/>
      <x:c r="C79" s="1"/>
      <x:c r="D79" s="1"/>
      <x:c r="E79" s="1"/>
      <x:c r="F79" s="1"/>
      <x:c r="G79" s="1"/>
      <x:c r="H79" s="1"/>
      <x:c r="I79" s="1"/>
      <x:c r="J79" s="1"/>
      <x:c r="K79" s="1"/>
      <x:c r="L79" s="1"/>
      <x:c r="M79" s="1"/>
      <x:c r="N79" s="1"/>
      <x:c r="O79" s="1"/>
      <x:c r="P79" s="1"/>
      <x:c r="Q79" s="1"/>
    </x:row>
    <x:row r="80">
      <x:c r="A80" s="1"/>
      <x:c r="B80" s="1"/>
      <x:c r="C80" s="1"/>
      <x:c r="D80" s="1"/>
      <x:c r="E80" s="1"/>
      <x:c r="F80" s="1"/>
      <x:c r="G80" s="1"/>
      <x:c r="H80" s="1"/>
      <x:c r="I80" s="1"/>
      <x:c r="J80" s="1"/>
      <x:c r="K80" s="1"/>
      <x:c r="L80" s="1"/>
      <x:c r="M80" s="1"/>
      <x:c r="N80" s="1"/>
      <x:c r="O80" s="1"/>
      <x:c r="P80" s="1"/>
      <x:c r="Q80" s="1"/>
    </x:row>
  </x:sheetData>
  <x:mergeCells>
    <x:mergeCell ref="A2:N2"/>
    <x:mergeCell ref="A4:N4"/>
  </x:mergeCells>
  <x:pageMargins left="0.7" right="0.7" top="0.75" bottom="0.75" header="0.3" footer="0.3"/>
  <x:tableParts count="1">
    <x:tablePart xmlns:r="http://schemas.openxmlformats.org/officeDocument/2006/relationships" r:id="R29a24d499d154dd7"/>
  </x:tableParts>
</x:worksheet>
</file>

<file path=xl/worksheets/sheet2.xml><?xml version="1.0" encoding="utf-8"?>
<x:worksheet xmlns:x="http://schemas.openxmlformats.org/spreadsheetml/2006/main">
  <x:sheetPr>
    <x:tabColor rgb="FF5B9BD5"/>
  </x:sheetPr>
  <x:sheetViews>
    <x:sheetView showGridLines="0" workbookViewId="0">
      <x:pane ySplit="3" topLeftCell="A4" activePane="bottomLeft" state="frozen"/>
    </x:sheetView>
  </x:sheetViews>
  <x:sheetFormatPr defaultRowHeight="15"/>
  <x:cols>
    <x:col min="1" max="1" width="35" hidden="0" customWidth="1"/>
    <x:col min="2" max="2" width="78" hidden="0" customWidth="1"/>
    <x:col min="3" max="3" width="16" hidden="0" customWidth="1"/>
    <x:col min="4" max="4" width="16" hidden="0" customWidth="1"/>
    <x:col min="5" max="5" width="16" hidden="0" customWidth="1"/>
    <x:col min="6" max="6" width="16" hidden="0" customWidth="1"/>
  </x:cols>
  <x:sheetData>
    <x:row r="1">
      <x:c r="A1" s="10"/>
      <x:c r="B1" s="10"/>
      <x:c r="C1" s="10"/>
      <x:c r="D1" s="10"/>
      <x:c r="E1" s="10"/>
      <x:c r="F1" s="10"/>
      <x:c r="G1" s="1"/>
      <x:c r="H1" s="1"/>
      <x:c r="I1" s="1"/>
      <x:c r="J1" s="1"/>
      <x:c r="K1" s="1"/>
      <x:c r="L1" s="1"/>
      <x:c r="M1" s="1"/>
      <x:c r="N1" s="1"/>
      <x:c r="O1" s="1"/>
      <x:c r="P1" s="1"/>
      <x:c r="Q1" s="1"/>
    </x:row>
    <x:row r="2">
      <x:c r="A2" s="49" t="str">
        <x:v>Sampling method and strata</x:v>
      </x:c>
      <x:c r="B2" s="10"/>
      <x:c r="C2" s="10"/>
      <x:c r="D2" s="10"/>
      <x:c r="E2" s="10"/>
      <x:c r="F2" s="10"/>
      <x:c r="G2" s="1"/>
      <x:c r="H2" s="1"/>
      <x:c r="I2" s="1"/>
      <x:c r="J2" s="1"/>
      <x:c r="K2" s="1"/>
      <x:c r="L2" s="1"/>
      <x:c r="M2" s="1"/>
      <x:c r="N2" s="1"/>
      <x:c r="O2" s="1"/>
      <x:c r="P2" s="1"/>
      <x:c r="Q2" s="1"/>
    </x:row>
    <x:row r="3">
      <x:c r="A3" s="50"/>
      <x:c r="B3" s="50"/>
      <x:c r="C3" s="50"/>
      <x:c r="D3" s="50"/>
      <x:c r="E3" s="50"/>
      <x:c r="F3" s="50"/>
      <x:c r="G3" s="1"/>
      <x:c r="H3" s="1"/>
      <x:c r="I3" s="1"/>
      <x:c r="J3" s="1"/>
      <x:c r="K3" s="1"/>
      <x:c r="L3" s="1"/>
      <x:c r="M3" s="1"/>
      <x:c r="N3" s="1"/>
      <x:c r="O3" s="1"/>
      <x:c r="P3" s="1"/>
      <x:c r="Q3" s="1"/>
    </x:row>
    <x:row r="4">
      <x:c r="A4" s="10"/>
      <x:c r="B4" s="10"/>
      <x:c r="C4" s="10"/>
      <x:c r="D4" s="10"/>
      <x:c r="E4" s="10"/>
      <x:c r="F4" s="10"/>
      <x:c r="G4" s="1"/>
      <x:c r="H4" s="1"/>
      <x:c r="I4" s="1"/>
      <x:c r="J4" s="1"/>
      <x:c r="K4" s="1"/>
      <x:c r="L4" s="1"/>
      <x:c r="M4" s="1"/>
      <x:c r="N4" s="1"/>
      <x:c r="O4" s="1"/>
      <x:c r="P4" s="1"/>
      <x:c r="Q4" s="1"/>
    </x:row>
    <x:row r="5" ht="26" customHeight="1">
      <x:c r="A5" s="20" t="str">
        <x:v>Parameter</x:v>
      </x:c>
      <x:c r="B5" s="21" t="str">
        <x:v>Value</x:v>
      </x:c>
      <x:c r="C5" s="10"/>
      <x:c r="D5" s="10"/>
      <x:c r="E5" s="10"/>
      <x:c r="F5" s="10"/>
      <x:c r="G5" s="1"/>
      <x:c r="H5" s="1"/>
      <x:c r="I5" s="1"/>
      <x:c r="J5" s="1"/>
      <x:c r="K5" s="1"/>
      <x:c r="L5" s="1"/>
      <x:c r="M5" s="1"/>
      <x:c r="N5" s="1"/>
      <x:c r="O5" s="1"/>
      <x:c r="P5" s="1"/>
      <x:c r="Q5" s="1"/>
    </x:row>
    <x:row r="6">
      <x:c r="A6" s="51" t="str">
        <x:v>Source population</x:v>
      </x:c>
      <x:c r="B6" s="52" t="str">
        <x:v>1809 EMNLP 2025 main-conference records</x:v>
      </x:c>
      <x:c r="C6" s="10"/>
      <x:c r="D6" s="10"/>
      <x:c r="E6" s="10"/>
      <x:c r="F6" s="10"/>
      <x:c r="G6" s="1"/>
      <x:c r="H6" s="1"/>
      <x:c r="I6" s="1"/>
      <x:c r="J6" s="1"/>
      <x:c r="K6" s="1"/>
      <x:c r="L6" s="1"/>
      <x:c r="M6" s="1"/>
      <x:c r="N6" s="1"/>
      <x:c r="O6" s="1"/>
      <x:c r="P6" s="1"/>
      <x:c r="Q6" s="1"/>
    </x:row>
    <x:row r="7">
      <x:c r="A7" s="51" t="str">
        <x:v>Pilot papers excluded</x:v>
      </x:c>
      <x:c r="B7" s="52" t="n">
        <x:v>10</x:v>
      </x:c>
      <x:c r="C7" s="10"/>
      <x:c r="D7" s="10"/>
      <x:c r="E7" s="10"/>
      <x:c r="F7" s="10"/>
      <x:c r="G7" s="1"/>
      <x:c r="H7" s="1"/>
      <x:c r="I7" s="1"/>
      <x:c r="J7" s="1"/>
      <x:c r="K7" s="1"/>
      <x:c r="L7" s="1"/>
      <x:c r="M7" s="1"/>
      <x:c r="N7" s="1"/>
      <x:c r="O7" s="1"/>
      <x:c r="P7" s="1"/>
      <x:c r="Q7" s="1"/>
    </x:row>
    <x:row r="8">
      <x:c r="A8" s="51" t="str">
        <x:v>Held-out sample size</x:v>
      </x:c>
      <x:c r="B8" s="52" t="n">
        <x:v>30</x:v>
      </x:c>
      <x:c r="C8" s="10"/>
      <x:c r="D8" s="10"/>
      <x:c r="E8" s="10"/>
      <x:c r="F8" s="10"/>
      <x:c r="G8" s="1"/>
      <x:c r="H8" s="1"/>
      <x:c r="I8" s="1"/>
      <x:c r="J8" s="1"/>
      <x:c r="K8" s="1"/>
      <x:c r="L8" s="1"/>
      <x:c r="M8" s="1"/>
      <x:c r="N8" s="1"/>
      <x:c r="O8" s="1"/>
      <x:c r="P8" s="1"/>
      <x:c r="Q8" s="1"/>
    </x:row>
    <x:row r="9">
      <x:c r="A9" s="51" t="str">
        <x:v>Topic strata</x:v>
      </x:c>
      <x:c r="B9" s="52" t="n">
        <x:v>6</x:v>
      </x:c>
      <x:c r="C9" s="10"/>
      <x:c r="D9" s="10"/>
      <x:c r="E9" s="10"/>
      <x:c r="F9" s="10"/>
      <x:c r="G9" s="1"/>
      <x:c r="H9" s="1"/>
      <x:c r="I9" s="1"/>
      <x:c r="J9" s="1"/>
      <x:c r="K9" s="1"/>
      <x:c r="L9" s="1"/>
      <x:c r="M9" s="1"/>
      <x:c r="N9" s="1"/>
      <x:c r="O9" s="1"/>
      <x:c r="P9" s="1"/>
      <x:c r="Q9" s="1"/>
    </x:row>
    <x:row r="10">
      <x:c r="A10" s="51" t="str">
        <x:v>Target per stratum</x:v>
      </x:c>
      <x:c r="B10" s="52" t="n">
        <x:v>5</x:v>
      </x:c>
      <x:c r="C10" s="10"/>
      <x:c r="D10" s="10"/>
      <x:c r="E10" s="10"/>
      <x:c r="F10" s="10"/>
      <x:c r="G10" s="1"/>
      <x:c r="H10" s="1"/>
      <x:c r="I10" s="1"/>
      <x:c r="J10" s="1"/>
      <x:c r="K10" s="1"/>
      <x:c r="L10" s="1"/>
      <x:c r="M10" s="1"/>
      <x:c r="N10" s="1"/>
      <x:c r="O10" s="1"/>
      <x:c r="P10" s="1"/>
      <x:c r="Q10" s="1"/>
    </x:row>
    <x:row r="11">
      <x:c r="A11" s="51" t="str">
        <x:v>Random seed</x:v>
      </x:c>
      <x:c r="B11" s="52" t="str">
        <x:v>20261006</x:v>
      </x:c>
      <x:c r="C11" s="10"/>
      <x:c r="D11" s="10"/>
      <x:c r="E11" s="10"/>
      <x:c r="F11" s="10"/>
      <x:c r="G11" s="1"/>
      <x:c r="H11" s="1"/>
      <x:c r="I11" s="1"/>
      <x:c r="J11" s="1"/>
      <x:c r="K11" s="1"/>
      <x:c r="L11" s="1"/>
      <x:c r="M11" s="1"/>
      <x:c r="N11" s="1"/>
      <x:c r="O11" s="1"/>
      <x:c r="P11" s="1"/>
      <x:c r="Q11" s="1"/>
    </x:row>
    <x:row r="12">
      <x:c r="A12" s="51" t="str">
        <x:v>Randomization</x:v>
      </x:c>
      <x:c r="B12" s="52" t="str">
        <x:v>Within each topic stratum, sort eligible paper IDs by SHA-256(seed|paper_id) and take the required number with the smallest keys.</x:v>
      </x:c>
      <x:c r="C12" s="10"/>
      <x:c r="D12" s="10"/>
      <x:c r="E12" s="10"/>
      <x:c r="F12" s="10"/>
      <x:c r="G12" s="1"/>
      <x:c r="H12" s="1"/>
      <x:c r="I12" s="1"/>
      <x:c r="J12" s="1"/>
      <x:c r="K12" s="1"/>
      <x:c r="L12" s="1"/>
      <x:c r="M12" s="1"/>
      <x:c r="N12" s="1"/>
      <x:c r="O12" s="1"/>
      <x:c r="P12" s="1"/>
      <x:c r="Q12" s="1"/>
    </x:row>
    <x:row r="13">
      <x:c r="A13" s="53" t="str">
        <x:v>Purpose</x:v>
      </x:c>
      <x:c r="B13" s="54" t="str">
        <x:v>Fresh evaluation set; the 10 earlier papers remain development/pilot data</x:v>
      </x:c>
      <x:c r="C13" s="10"/>
      <x:c r="D13" s="10"/>
      <x:c r="E13" s="10"/>
      <x:c r="F13" s="10"/>
      <x:c r="G13" s="1"/>
      <x:c r="H13" s="1"/>
      <x:c r="I13" s="1"/>
      <x:c r="J13" s="1"/>
      <x:c r="K13" s="1"/>
      <x:c r="L13" s="1"/>
      <x:c r="M13" s="1"/>
      <x:c r="N13" s="1"/>
      <x:c r="O13" s="1"/>
      <x:c r="P13" s="1"/>
      <x:c r="Q13" s="1"/>
    </x:row>
    <x:row r="14">
      <x:c r="A14" s="10"/>
      <x:c r="B14" s="10"/>
      <x:c r="C14" s="10"/>
      <x:c r="D14" s="10"/>
      <x:c r="E14" s="10"/>
      <x:c r="F14" s="10"/>
      <x:c r="G14" s="1"/>
      <x:c r="H14" s="1"/>
      <x:c r="I14" s="1"/>
      <x:c r="J14" s="1"/>
      <x:c r="K14" s="1"/>
      <x:c r="L14" s="1"/>
      <x:c r="M14" s="1"/>
      <x:c r="N14" s="1"/>
      <x:c r="O14" s="1"/>
      <x:c r="P14" s="1"/>
      <x:c r="Q14" s="1"/>
    </x:row>
    <x:row r="15">
      <x:c r="A15" s="10"/>
      <x:c r="B15" s="10"/>
      <x:c r="C15" s="10"/>
      <x:c r="D15" s="10"/>
      <x:c r="E15" s="10"/>
      <x:c r="F15" s="10"/>
      <x:c r="G15" s="1"/>
      <x:c r="H15" s="1"/>
      <x:c r="I15" s="1"/>
      <x:c r="J15" s="1"/>
      <x:c r="K15" s="1"/>
      <x:c r="L15" s="1"/>
      <x:c r="M15" s="1"/>
      <x:c r="N15" s="1"/>
      <x:c r="O15" s="1"/>
      <x:c r="P15" s="1"/>
      <x:c r="Q15" s="1"/>
    </x:row>
    <x:row r="16" ht="30" customHeight="1">
      <x:c r="A16" s="9" t="str">
        <x:v>Topic stratum</x:v>
      </x:c>
      <x:c r="B16" s="9" t="str">
        <x:v>Pilot excluded</x:v>
      </x:c>
      <x:c r="C16" s="9" t="str">
        <x:v>Eligible pool</x:v>
      </x:c>
      <x:c r="D16" s="9" t="str">
        <x:v>Target</x:v>
      </x:c>
      <x:c r="E16" s="9" t="str">
        <x:v>Selected</x:v>
      </x:c>
      <x:c r="F16" s="9" t="str">
        <x:v>Difference</x:v>
      </x:c>
      <x:c r="G16" s="1"/>
      <x:c r="H16" s="1"/>
      <x:c r="I16" s="1"/>
      <x:c r="J16" s="1"/>
      <x:c r="K16" s="1"/>
      <x:c r="L16" s="1"/>
      <x:c r="M16" s="1"/>
      <x:c r="N16" s="1"/>
      <x:c r="O16" s="1"/>
      <x:c r="P16" s="1"/>
      <x:c r="Q16" s="1"/>
    </x:row>
    <x:row r="17">
      <x:c r="A17" s="10" t="str">
        <x:v>Reasoning &amp; agents</x:v>
      </x:c>
      <x:c r="B17" s="17" t="n">
        <x:v>3</x:v>
      </x:c>
      <x:c r="C17" s="17" t="n">
        <x:v>257</x:v>
      </x:c>
      <x:c r="D17" s="17" t="n">
        <x:v>5</x:v>
      </x:c>
      <x:c r="E17" s="17" t="n">
        <x:f>COUNTIFS('Selected 30'!$B$7:$B$36,A17)</x:f>
        <x:v>5</x:v>
      </x:c>
      <x:c r="F17" s="17" t="n">
        <x:f>E17-D17</x:f>
        <x:v>0</x:v>
      </x:c>
      <x:c r="G17" s="1"/>
      <x:c r="H17" s="1"/>
      <x:c r="I17" s="1"/>
      <x:c r="J17" s="1"/>
      <x:c r="K17" s="1"/>
      <x:c r="L17" s="1"/>
      <x:c r="M17" s="1"/>
      <x:c r="N17" s="1"/>
      <x:c r="O17" s="1"/>
      <x:c r="P17" s="1"/>
      <x:c r="Q17" s="1"/>
    </x:row>
    <x:row r="18">
      <x:c r="A18" s="10" t="str">
        <x:v>Retrieval &amp; QA</x:v>
      </x:c>
      <x:c r="B18" s="17" t="n">
        <x:v>2</x:v>
      </x:c>
      <x:c r="C18" s="17" t="n">
        <x:v>133</x:v>
      </x:c>
      <x:c r="D18" s="17" t="n">
        <x:v>5</x:v>
      </x:c>
      <x:c r="E18" s="17" t="n">
        <x:f>COUNTIFS('Selected 30'!$B$7:$B$36,A18)</x:f>
        <x:v>5</x:v>
      </x:c>
      <x:c r="F18" s="17" t="n">
        <x:f>E18-D18</x:f>
        <x:v>0</x:v>
      </x:c>
      <x:c r="G18" s="1"/>
      <x:c r="H18" s="1"/>
      <x:c r="I18" s="1"/>
      <x:c r="J18" s="1"/>
      <x:c r="K18" s="1"/>
      <x:c r="L18" s="1"/>
      <x:c r="M18" s="1"/>
      <x:c r="N18" s="1"/>
      <x:c r="O18" s="1"/>
      <x:c r="P18" s="1"/>
      <x:c r="Q18" s="1"/>
    </x:row>
    <x:row r="19">
      <x:c r="A19" s="10" t="str">
        <x:v>Interpretability &amp; representation</x:v>
      </x:c>
      <x:c r="B19" s="17" t="n">
        <x:v>2</x:v>
      </x:c>
      <x:c r="C19" s="17" t="n">
        <x:v>129</x:v>
      </x:c>
      <x:c r="D19" s="17" t="n">
        <x:v>5</x:v>
      </x:c>
      <x:c r="E19" s="17" t="n">
        <x:f>COUNTIFS('Selected 30'!$B$7:$B$36,A19)</x:f>
        <x:v>5</x:v>
      </x:c>
      <x:c r="F19" s="17" t="n">
        <x:f>E19-D19</x:f>
        <x:v>0</x:v>
      </x:c>
      <x:c r="G19" s="1"/>
      <x:c r="H19" s="1"/>
      <x:c r="I19" s="1"/>
      <x:c r="J19" s="1"/>
      <x:c r="K19" s="1"/>
      <x:c r="L19" s="1"/>
      <x:c r="M19" s="1"/>
      <x:c r="N19" s="1"/>
      <x:c r="O19" s="1"/>
      <x:c r="P19" s="1"/>
      <x:c r="Q19" s="1"/>
    </x:row>
    <x:row r="20">
      <x:c r="A20" s="10" t="str">
        <x:v>Responsible NLP &amp; evaluation</x:v>
      </x:c>
      <x:c r="B20" s="17" t="n">
        <x:v>2</x:v>
      </x:c>
      <x:c r="C20" s="17" t="n">
        <x:v>168</x:v>
      </x:c>
      <x:c r="D20" s="17" t="n">
        <x:v>5</x:v>
      </x:c>
      <x:c r="E20" s="17" t="n">
        <x:f>COUNTIFS('Selected 30'!$B$7:$B$36,A20)</x:f>
        <x:v>5</x:v>
      </x:c>
      <x:c r="F20" s="17" t="n">
        <x:f>E20-D20</x:f>
        <x:v>0</x:v>
      </x:c>
      <x:c r="G20" s="1"/>
      <x:c r="H20" s="1"/>
      <x:c r="I20" s="1"/>
      <x:c r="J20" s="1"/>
      <x:c r="K20" s="1"/>
      <x:c r="L20" s="1"/>
      <x:c r="M20" s="1"/>
      <x:c r="N20" s="1"/>
      <x:c r="O20" s="1"/>
      <x:c r="P20" s="1"/>
      <x:c r="Q20" s="1"/>
    </x:row>
    <x:row r="21">
      <x:c r="A21" s="10" t="str">
        <x:v>Multilingual &amp; translation</x:v>
      </x:c>
      <x:c r="B21" s="17" t="n">
        <x:v>0</x:v>
      </x:c>
      <x:c r="C21" s="17" t="n">
        <x:v>95</x:v>
      </x:c>
      <x:c r="D21" s="17" t="n">
        <x:v>5</x:v>
      </x:c>
      <x:c r="E21" s="17" t="n">
        <x:f>COUNTIFS('Selected 30'!$B$7:$B$36,A21)</x:f>
        <x:v>5</x:v>
      </x:c>
      <x:c r="F21" s="17" t="n">
        <x:f>E21-D21</x:f>
        <x:v>0</x:v>
      </x:c>
      <x:c r="G21" s="1"/>
      <x:c r="H21" s="1"/>
      <x:c r="I21" s="1"/>
      <x:c r="J21" s="1"/>
      <x:c r="K21" s="1"/>
      <x:c r="L21" s="1"/>
      <x:c r="M21" s="1"/>
      <x:c r="N21" s="1"/>
      <x:c r="O21" s="1"/>
      <x:c r="P21" s="1"/>
      <x:c r="Q21" s="1"/>
    </x:row>
    <x:row r="22">
      <x:c r="A22" s="10" t="str">
        <x:v>Multimodal, dialogue &amp; narrative</x:v>
      </x:c>
      <x:c r="B22" s="17" t="n">
        <x:v>1</x:v>
      </x:c>
      <x:c r="C22" s="17" t="n">
        <x:v>221</x:v>
      </x:c>
      <x:c r="D22" s="17" t="n">
        <x:v>5</x:v>
      </x:c>
      <x:c r="E22" s="17" t="n">
        <x:f>COUNTIFS('Selected 30'!$B$7:$B$36,A22)</x:f>
        <x:v>5</x:v>
      </x:c>
      <x:c r="F22" s="17" t="n">
        <x:f>E22-D22</x:f>
        <x:v>0</x:v>
      </x:c>
      <x:c r="G22" s="1"/>
      <x:c r="H22" s="1"/>
      <x:c r="I22" s="1"/>
      <x:c r="J22" s="1"/>
      <x:c r="K22" s="1"/>
      <x:c r="L22" s="1"/>
      <x:c r="M22" s="1"/>
      <x:c r="N22" s="1"/>
      <x:c r="O22" s="1"/>
      <x:c r="P22" s="1"/>
      <x:c r="Q22" s="1"/>
    </x:row>
    <x:row r="23">
      <x:c r="A23" s="10"/>
      <x:c r="B23" s="10"/>
      <x:c r="C23" s="10"/>
      <x:c r="D23" s="10"/>
      <x:c r="E23" s="10"/>
      <x:c r="F23" s="10"/>
      <x:c r="G23" s="1"/>
      <x:c r="H23" s="1"/>
      <x:c r="I23" s="1"/>
      <x:c r="J23" s="1"/>
      <x:c r="K23" s="1"/>
      <x:c r="L23" s="1"/>
      <x:c r="M23" s="1"/>
      <x:c r="N23" s="1"/>
      <x:c r="O23" s="1"/>
      <x:c r="P23" s="1"/>
      <x:c r="Q23" s="1"/>
    </x:row>
    <x:row r="24">
      <x:c r="A24" s="10"/>
      <x:c r="B24" s="10"/>
      <x:c r="C24" s="10"/>
      <x:c r="D24" s="10"/>
      <x:c r="E24" s="10"/>
      <x:c r="F24" s="10"/>
      <x:c r="G24" s="1"/>
      <x:c r="H24" s="1"/>
      <x:c r="I24" s="1"/>
      <x:c r="J24" s="1"/>
      <x:c r="K24" s="1"/>
      <x:c r="L24" s="1"/>
      <x:c r="M24" s="1"/>
      <x:c r="N24" s="1"/>
      <x:c r="O24" s="1"/>
      <x:c r="P24" s="1"/>
      <x:c r="Q24" s="1"/>
    </x:row>
    <x:row r="25" ht="26" customHeight="1">
      <x:c r="A25" s="33" t="str">
        <x:v>Eligibility and classification rules</x:v>
      </x:c>
      <x:c r="B25" s="34" t="str">
        <x:v>Definition</x:v>
      </x:c>
      <x:c r="C25" s="10"/>
      <x:c r="D25" s="10"/>
      <x:c r="E25" s="10"/>
      <x:c r="F25" s="10"/>
      <x:c r="G25" s="1"/>
      <x:c r="H25" s="1"/>
      <x:c r="I25" s="1"/>
      <x:c r="J25" s="1"/>
      <x:c r="K25" s="1"/>
      <x:c r="L25" s="1"/>
      <x:c r="M25" s="1"/>
      <x:c r="N25" s="1"/>
      <x:c r="O25" s="1"/>
      <x:c r="P25" s="1"/>
      <x:c r="Q25" s="1"/>
    </x:row>
    <x:row r="26">
      <x:c r="A26" s="55" t="str">
        <x:v>Venue</x:v>
      </x:c>
      <x:c r="B26" s="52" t="str">
        <x:v>EMNLP 2025 main-conference records only</x:v>
      </x:c>
      <x:c r="C26" s="10"/>
      <x:c r="D26" s="10"/>
      <x:c r="E26" s="10"/>
      <x:c r="F26" s="10"/>
      <x:c r="G26" s="1"/>
      <x:c r="H26" s="1"/>
      <x:c r="I26" s="1"/>
      <x:c r="J26" s="1"/>
      <x:c r="K26" s="1"/>
      <x:c r="L26" s="1"/>
      <x:c r="M26" s="1"/>
      <x:c r="N26" s="1"/>
      <x:c r="O26" s="1"/>
      <x:c r="P26" s="1"/>
      <x:c r="Q26" s="1"/>
    </x:row>
    <x:row r="27">
      <x:c r="A27" s="55" t="str">
        <x:v>Abstract length</x:v>
      </x:c>
      <x:c r="B27" s="52" t="str">
        <x:v>90 to 320 words</x:v>
      </x:c>
      <x:c r="C27" s="10"/>
      <x:c r="D27" s="10"/>
      <x:c r="E27" s="10"/>
      <x:c r="F27" s="10"/>
      <x:c r="G27" s="1"/>
      <x:c r="H27" s="1"/>
      <x:c r="I27" s="1"/>
      <x:c r="J27" s="1"/>
      <x:c r="K27" s="1"/>
      <x:c r="L27" s="1"/>
      <x:c r="M27" s="1"/>
      <x:c r="N27" s="1"/>
      <x:c r="O27" s="1"/>
      <x:c r="P27" s="1"/>
      <x:c r="Q27" s="1"/>
    </x:row>
    <x:row r="28">
      <x:c r="A28" s="55" t="str">
        <x:v>Author count</x:v>
      </x:c>
      <x:c r="B28" s="52" t="str">
        <x:v>2 to 9 listed authors</x:v>
      </x:c>
      <x:c r="C28" s="10"/>
      <x:c r="D28" s="10"/>
      <x:c r="E28" s="10"/>
      <x:c r="F28" s="10"/>
      <x:c r="G28" s="1"/>
      <x:c r="H28" s="1"/>
      <x:c r="I28" s="1"/>
      <x:c r="J28" s="1"/>
      <x:c r="K28" s="1"/>
      <x:c r="L28" s="1"/>
      <x:c r="M28" s="1"/>
      <x:c r="N28" s="1"/>
      <x:c r="O28" s="1"/>
      <x:c r="P28" s="1"/>
      <x:c r="Q28" s="1"/>
    </x:row>
    <x:row r="29">
      <x:c r="A29" s="55" t="str">
        <x:v>Topic assignment</x:v>
      </x:c>
      <x:c r="B29" s="52" t="str">
        <x:v>Unique highest whole-word or phrase keyword score; minimum score 2</x:v>
      </x:c>
      <x:c r="C29" s="10"/>
      <x:c r="D29" s="10"/>
      <x:c r="E29" s="10"/>
      <x:c r="F29" s="10"/>
      <x:c r="G29" s="1"/>
      <x:c r="H29" s="1"/>
      <x:c r="I29" s="1"/>
      <x:c r="J29" s="1"/>
      <x:c r="K29" s="1"/>
      <x:c r="L29" s="1"/>
      <x:c r="M29" s="1"/>
      <x:c r="N29" s="1"/>
      <x:c r="O29" s="1"/>
      <x:c r="P29" s="1"/>
      <x:c r="Q29" s="1"/>
    </x:row>
    <x:row r="30">
      <x:c r="A30" s="55" t="str">
        <x:v>Pilot exclusion</x:v>
      </x:c>
      <x:c r="B30" s="52" t="str">
        <x:v>All 10 papers previously used for generation are excluded</x:v>
      </x:c>
      <x:c r="C30" s="10"/>
      <x:c r="D30" s="10"/>
      <x:c r="E30" s="10"/>
      <x:c r="F30" s="10"/>
      <x:c r="G30" s="1"/>
      <x:c r="H30" s="1"/>
      <x:c r="I30" s="1"/>
      <x:c r="J30" s="1"/>
      <x:c r="K30" s="1"/>
      <x:c r="L30" s="1"/>
      <x:c r="M30" s="1"/>
      <x:c r="N30" s="1"/>
      <x:c r="O30" s="1"/>
      <x:c r="P30" s="1"/>
      <x:c r="Q30" s="1"/>
    </x:row>
    <x:row r="31">
      <x:c r="A31" s="55" t="str">
        <x:v>Selection</x:v>
      </x:c>
      <x:c r="B31" s="52" t="str">
        <x:v>Five lowest SHA-256 random keys within each eligible topic pool</x:v>
      </x:c>
      <x:c r="C31" s="10"/>
      <x:c r="D31" s="10"/>
      <x:c r="E31" s="10"/>
      <x:c r="F31" s="10"/>
      <x:c r="G31" s="1"/>
      <x:c r="H31" s="1"/>
      <x:c r="I31" s="1"/>
      <x:c r="J31" s="1"/>
      <x:c r="K31" s="1"/>
      <x:c r="L31" s="1"/>
      <x:c r="M31" s="1"/>
      <x:c r="N31" s="1"/>
      <x:c r="O31" s="1"/>
      <x:c r="P31" s="1"/>
      <x:c r="Q31" s="1"/>
    </x:row>
    <x:row r="32">
      <x:c r="A32" s="56" t="str">
        <x:v>Manual check</x:v>
      </x:c>
      <x:c r="B32" s="54" t="str">
        <x:v>Review topic labels and PDF section availability before API generation</x:v>
      </x:c>
      <x:c r="C32" s="10"/>
      <x:c r="D32" s="10"/>
      <x:c r="E32" s="10"/>
      <x:c r="F32" s="10"/>
      <x:c r="G32" s="1"/>
      <x:c r="H32" s="1"/>
      <x:c r="I32" s="1"/>
      <x:c r="J32" s="1"/>
      <x:c r="K32" s="1"/>
      <x:c r="L32" s="1"/>
      <x:c r="M32" s="1"/>
      <x:c r="N32" s="1"/>
      <x:c r="O32" s="1"/>
      <x:c r="P32" s="1"/>
      <x:c r="Q32" s="1"/>
    </x:row>
    <x:row r="33">
      <x:c r="A33" s="10"/>
      <x:c r="B33" s="10"/>
      <x:c r="C33" s="10"/>
      <x:c r="D33" s="10"/>
      <x:c r="E33" s="10"/>
      <x:c r="F33" s="10"/>
      <x:c r="G33" s="1"/>
      <x:c r="H33" s="1"/>
      <x:c r="I33" s="1"/>
      <x:c r="J33" s="1"/>
      <x:c r="K33" s="1"/>
      <x:c r="L33" s="1"/>
      <x:c r="M33" s="1"/>
      <x:c r="N33" s="1"/>
      <x:c r="O33" s="1"/>
      <x:c r="P33" s="1"/>
      <x:c r="Q33" s="1"/>
    </x:row>
    <x:row r="34">
      <x:c r="A34" s="10"/>
      <x:c r="B34" s="10"/>
      <x:c r="C34" s="10"/>
      <x:c r="D34" s="10"/>
      <x:c r="E34" s="10"/>
      <x:c r="F34" s="10"/>
      <x:c r="G34" s="1"/>
      <x:c r="H34" s="1"/>
      <x:c r="I34" s="1"/>
      <x:c r="J34" s="1"/>
      <x:c r="K34" s="1"/>
      <x:c r="L34" s="1"/>
      <x:c r="M34" s="1"/>
      <x:c r="N34" s="1"/>
      <x:c r="O34" s="1"/>
      <x:c r="P34" s="1"/>
      <x:c r="Q34" s="1"/>
    </x:row>
    <x:row r="35" ht="26" customHeight="1">
      <x:c r="A35" s="43" t="str">
        <x:v>Known limitation</x:v>
      </x:c>
      <x:c r="B35" s="44" t="str">
        <x:v>Implication</x:v>
      </x:c>
      <x:c r="C35" s="10"/>
      <x:c r="D35" s="10"/>
      <x:c r="E35" s="10"/>
      <x:c r="F35" s="10"/>
      <x:c r="G35" s="1"/>
      <x:c r="H35" s="1"/>
      <x:c r="I35" s="1"/>
      <x:c r="J35" s="1"/>
      <x:c r="K35" s="1"/>
      <x:c r="L35" s="1"/>
      <x:c r="M35" s="1"/>
      <x:c r="N35" s="1"/>
      <x:c r="O35" s="1"/>
      <x:c r="P35" s="1"/>
      <x:c r="Q35" s="1"/>
    </x:row>
    <x:row r="36" ht="42" customHeight="1">
      <x:c r="A36" s="57" t="str">
        <x:v>Topic labels are keyword-derived</x:v>
      </x:c>
      <x:c r="B36" s="58" t="str">
        <x:v>A human should confirm borderline cases before generation.</x:v>
      </x:c>
      <x:c r="C36" s="10"/>
      <x:c r="D36" s="10"/>
      <x:c r="E36" s="10"/>
      <x:c r="F36" s="10"/>
      <x:c r="G36" s="1"/>
      <x:c r="H36" s="1"/>
      <x:c r="I36" s="1"/>
      <x:c r="J36" s="1"/>
      <x:c r="K36" s="1"/>
      <x:c r="L36" s="1"/>
      <x:c r="M36" s="1"/>
      <x:c r="N36" s="1"/>
      <x:c r="O36" s="1"/>
      <x:c r="P36" s="1"/>
      <x:c r="Q36" s="1"/>
    </x:row>
    <x:row r="37" ht="42" customHeight="1">
      <x:c r="A37" s="59" t="str">
        <x:v>Paper length and section availability are not in the source spreadsheet</x:v>
      </x:c>
      <x:c r="B37" s="60" t="str">
        <x:v>Check PDFs before running the extraction pipeline; replace failed papers using the next random rank in the same stratum.</x:v>
      </x:c>
      <x:c r="C37" s="10"/>
      <x:c r="D37" s="10"/>
      <x:c r="E37" s="10"/>
      <x:c r="F37" s="10"/>
      <x:c r="G37" s="1"/>
      <x:c r="H37" s="1"/>
      <x:c r="I37" s="1"/>
      <x:c r="J37" s="1"/>
      <x:c r="K37" s="1"/>
      <x:c r="L37" s="1"/>
      <x:c r="M37" s="1"/>
      <x:c r="N37" s="1"/>
      <x:c r="O37" s="1"/>
      <x:c r="P37" s="1"/>
      <x:c r="Q37" s="1"/>
    </x:row>
    <x:row r="38">
      <x:c r="A38" s="10"/>
      <x:c r="B38" s="10"/>
      <x:c r="C38" s="10"/>
      <x:c r="D38" s="10"/>
      <x:c r="E38" s="10"/>
      <x:c r="F38" s="10"/>
      <x:c r="G38" s="1"/>
      <x:c r="H38" s="1"/>
      <x:c r="I38" s="1"/>
      <x:c r="J38" s="1"/>
      <x:c r="K38" s="1"/>
      <x:c r="L38" s="1"/>
      <x:c r="M38" s="1"/>
      <x:c r="N38" s="1"/>
      <x:c r="O38" s="1"/>
      <x:c r="P38" s="1"/>
      <x:c r="Q38" s="1"/>
    </x:row>
    <x:row r="39">
      <x:c r="A39" s="10"/>
      <x:c r="B39" s="10"/>
      <x:c r="C39" s="10"/>
      <x:c r="D39" s="10"/>
      <x:c r="E39" s="10"/>
      <x:c r="F39" s="10"/>
      <x:c r="G39" s="1"/>
      <x:c r="H39" s="1"/>
      <x:c r="I39" s="1"/>
      <x:c r="J39" s="1"/>
      <x:c r="K39" s="1"/>
      <x:c r="L39" s="1"/>
      <x:c r="M39" s="1"/>
      <x:c r="N39" s="1"/>
      <x:c r="O39" s="1"/>
      <x:c r="P39" s="1"/>
      <x:c r="Q39" s="1"/>
    </x:row>
    <x:row r="40">
      <x:c r="A40" s="10"/>
      <x:c r="B40" s="10"/>
      <x:c r="C40" s="10"/>
      <x:c r="D40" s="10"/>
      <x:c r="E40" s="10"/>
      <x:c r="F40" s="10"/>
      <x:c r="G40" s="1"/>
      <x:c r="H40" s="1"/>
      <x:c r="I40" s="1"/>
      <x:c r="J40" s="1"/>
      <x:c r="K40" s="1"/>
      <x:c r="L40" s="1"/>
      <x:c r="M40" s="1"/>
      <x:c r="N40" s="1"/>
      <x:c r="O40" s="1"/>
      <x:c r="P40" s="1"/>
      <x:c r="Q40" s="1"/>
    </x:row>
    <x:row r="41">
      <x:c r="A41" s="1"/>
      <x:c r="B41" s="1"/>
      <x:c r="C41" s="1"/>
      <x:c r="D41" s="1"/>
      <x:c r="E41" s="1"/>
      <x:c r="F41" s="1"/>
      <x:c r="G41" s="1"/>
      <x:c r="H41" s="1"/>
      <x:c r="I41" s="1"/>
      <x:c r="J41" s="1"/>
      <x:c r="K41" s="1"/>
      <x:c r="L41" s="1"/>
      <x:c r="M41" s="1"/>
      <x:c r="N41" s="1"/>
      <x:c r="O41" s="1"/>
      <x:c r="P41" s="1"/>
      <x:c r="Q41" s="1"/>
    </x:row>
    <x:row r="42">
      <x:c r="A42" s="1"/>
      <x:c r="B42" s="1"/>
      <x:c r="C42" s="1"/>
      <x:c r="D42" s="1"/>
      <x:c r="E42" s="1"/>
      <x:c r="F42" s="1"/>
      <x:c r="G42" s="1"/>
      <x:c r="H42" s="1"/>
      <x:c r="I42" s="1"/>
      <x:c r="J42" s="1"/>
      <x:c r="K42" s="1"/>
      <x:c r="L42" s="1"/>
      <x:c r="M42" s="1"/>
      <x:c r="N42" s="1"/>
      <x:c r="O42" s="1"/>
      <x:c r="P42" s="1"/>
      <x:c r="Q42" s="1"/>
    </x:row>
    <x:row r="43">
      <x:c r="A43" s="1"/>
      <x:c r="B43" s="1"/>
      <x:c r="C43" s="1"/>
      <x:c r="D43" s="1"/>
      <x:c r="E43" s="1"/>
      <x:c r="F43" s="1"/>
      <x:c r="G43" s="1"/>
      <x:c r="H43" s="1"/>
      <x:c r="I43" s="1"/>
      <x:c r="J43" s="1"/>
      <x:c r="K43" s="1"/>
      <x:c r="L43" s="1"/>
      <x:c r="M43" s="1"/>
      <x:c r="N43" s="1"/>
      <x:c r="O43" s="1"/>
      <x:c r="P43" s="1"/>
      <x:c r="Q43" s="1"/>
    </x:row>
    <x:row r="44">
      <x:c r="A44" s="1"/>
      <x:c r="B44" s="1"/>
      <x:c r="C44" s="1"/>
      <x:c r="D44" s="1"/>
      <x:c r="E44" s="1"/>
      <x:c r="F44" s="1"/>
      <x:c r="G44" s="1"/>
      <x:c r="H44" s="1"/>
      <x:c r="I44" s="1"/>
      <x:c r="J44" s="1"/>
      <x:c r="K44" s="1"/>
      <x:c r="L44" s="1"/>
      <x:c r="M44" s="1"/>
      <x:c r="N44" s="1"/>
      <x:c r="O44" s="1"/>
      <x:c r="P44" s="1"/>
      <x:c r="Q44" s="1"/>
    </x:row>
    <x:row r="45">
      <x:c r="A45" s="1"/>
      <x:c r="B45" s="1"/>
      <x:c r="C45" s="1"/>
      <x:c r="D45" s="1"/>
      <x:c r="E45" s="1"/>
      <x:c r="F45" s="1"/>
      <x:c r="G45" s="1"/>
      <x:c r="H45" s="1"/>
      <x:c r="I45" s="1"/>
      <x:c r="J45" s="1"/>
      <x:c r="K45" s="1"/>
      <x:c r="L45" s="1"/>
      <x:c r="M45" s="1"/>
      <x:c r="N45" s="1"/>
      <x:c r="O45" s="1"/>
      <x:c r="P45" s="1"/>
      <x:c r="Q45" s="1"/>
    </x:row>
    <x:row r="46">
      <x:c r="A46" s="1"/>
      <x:c r="B46" s="1"/>
      <x:c r="C46" s="1"/>
      <x:c r="D46" s="1"/>
      <x:c r="E46" s="1"/>
      <x:c r="F46" s="1"/>
      <x:c r="G46" s="1"/>
      <x:c r="H46" s="1"/>
      <x:c r="I46" s="1"/>
      <x:c r="J46" s="1"/>
      <x:c r="K46" s="1"/>
      <x:c r="L46" s="1"/>
      <x:c r="M46" s="1"/>
      <x:c r="N46" s="1"/>
      <x:c r="O46" s="1"/>
      <x:c r="P46" s="1"/>
      <x:c r="Q46" s="1"/>
    </x:row>
    <x:row r="47">
      <x:c r="A47" s="1"/>
      <x:c r="B47" s="1"/>
      <x:c r="C47" s="1"/>
      <x:c r="D47" s="1"/>
      <x:c r="E47" s="1"/>
      <x:c r="F47" s="1"/>
      <x:c r="G47" s="1"/>
      <x:c r="H47" s="1"/>
      <x:c r="I47" s="1"/>
      <x:c r="J47" s="1"/>
      <x:c r="K47" s="1"/>
      <x:c r="L47" s="1"/>
      <x:c r="M47" s="1"/>
      <x:c r="N47" s="1"/>
      <x:c r="O47" s="1"/>
      <x:c r="P47" s="1"/>
      <x:c r="Q47" s="1"/>
    </x:row>
    <x:row r="48">
      <x:c r="A48" s="1"/>
      <x:c r="B48" s="1"/>
      <x:c r="C48" s="1"/>
      <x:c r="D48" s="1"/>
      <x:c r="E48" s="1"/>
      <x:c r="F48" s="1"/>
      <x:c r="G48" s="1"/>
      <x:c r="H48" s="1"/>
      <x:c r="I48" s="1"/>
      <x:c r="J48" s="1"/>
      <x:c r="K48" s="1"/>
      <x:c r="L48" s="1"/>
      <x:c r="M48" s="1"/>
      <x:c r="N48" s="1"/>
      <x:c r="O48" s="1"/>
      <x:c r="P48" s="1"/>
      <x:c r="Q48" s="1"/>
    </x:row>
    <x:row r="49">
      <x:c r="A49" s="1"/>
      <x:c r="B49" s="1"/>
      <x:c r="C49" s="1"/>
      <x:c r="D49" s="1"/>
      <x:c r="E49" s="1"/>
      <x:c r="F49" s="1"/>
      <x:c r="G49" s="1"/>
      <x:c r="H49" s="1"/>
      <x:c r="I49" s="1"/>
      <x:c r="J49" s="1"/>
      <x:c r="K49" s="1"/>
      <x:c r="L49" s="1"/>
      <x:c r="M49" s="1"/>
      <x:c r="N49" s="1"/>
      <x:c r="O49" s="1"/>
      <x:c r="P49" s="1"/>
      <x:c r="Q49" s="1"/>
    </x:row>
    <x:row r="50">
      <x:c r="A50" s="1"/>
      <x:c r="B50" s="1"/>
      <x:c r="C50" s="1"/>
      <x:c r="D50" s="1"/>
      <x:c r="E50" s="1"/>
      <x:c r="F50" s="1"/>
      <x:c r="G50" s="1"/>
      <x:c r="H50" s="1"/>
      <x:c r="I50" s="1"/>
      <x:c r="J50" s="1"/>
      <x:c r="K50" s="1"/>
      <x:c r="L50" s="1"/>
      <x:c r="M50" s="1"/>
      <x:c r="N50" s="1"/>
      <x:c r="O50" s="1"/>
      <x:c r="P50" s="1"/>
      <x:c r="Q50" s="1"/>
    </x:row>
    <x:row r="51">
      <x:c r="A51" s="1"/>
      <x:c r="B51" s="1"/>
      <x:c r="C51" s="1"/>
      <x:c r="D51" s="1"/>
      <x:c r="E51" s="1"/>
      <x:c r="F51" s="1"/>
      <x:c r="G51" s="1"/>
      <x:c r="H51" s="1"/>
      <x:c r="I51" s="1"/>
      <x:c r="J51" s="1"/>
      <x:c r="K51" s="1"/>
      <x:c r="L51" s="1"/>
      <x:c r="M51" s="1"/>
      <x:c r="N51" s="1"/>
      <x:c r="O51" s="1"/>
      <x:c r="P51" s="1"/>
      <x:c r="Q51" s="1"/>
    </x:row>
    <x:row r="52">
      <x:c r="A52" s="1"/>
      <x:c r="B52" s="1"/>
      <x:c r="C52" s="1"/>
      <x:c r="D52" s="1"/>
      <x:c r="E52" s="1"/>
      <x:c r="F52" s="1"/>
      <x:c r="G52" s="1"/>
      <x:c r="H52" s="1"/>
      <x:c r="I52" s="1"/>
      <x:c r="J52" s="1"/>
      <x:c r="K52" s="1"/>
      <x:c r="L52" s="1"/>
      <x:c r="M52" s="1"/>
      <x:c r="N52" s="1"/>
      <x:c r="O52" s="1"/>
      <x:c r="P52" s="1"/>
      <x:c r="Q52" s="1"/>
    </x:row>
    <x:row r="53">
      <x:c r="A53" s="1"/>
      <x:c r="B53" s="1"/>
      <x:c r="C53" s="1"/>
      <x:c r="D53" s="1"/>
      <x:c r="E53" s="1"/>
      <x:c r="F53" s="1"/>
      <x:c r="G53" s="1"/>
      <x:c r="H53" s="1"/>
      <x:c r="I53" s="1"/>
      <x:c r="J53" s="1"/>
      <x:c r="K53" s="1"/>
      <x:c r="L53" s="1"/>
      <x:c r="M53" s="1"/>
      <x:c r="N53" s="1"/>
      <x:c r="O53" s="1"/>
      <x:c r="P53" s="1"/>
      <x:c r="Q53" s="1"/>
    </x:row>
    <x:row r="54">
      <x:c r="A54" s="1"/>
      <x:c r="B54" s="1"/>
      <x:c r="C54" s="1"/>
      <x:c r="D54" s="1"/>
      <x:c r="E54" s="1"/>
      <x:c r="F54" s="1"/>
      <x:c r="G54" s="1"/>
      <x:c r="H54" s="1"/>
      <x:c r="I54" s="1"/>
      <x:c r="J54" s="1"/>
      <x:c r="K54" s="1"/>
      <x:c r="L54" s="1"/>
      <x:c r="M54" s="1"/>
      <x:c r="N54" s="1"/>
      <x:c r="O54" s="1"/>
      <x:c r="P54" s="1"/>
      <x:c r="Q54" s="1"/>
    </x:row>
    <x:row r="55">
      <x:c r="A55" s="1"/>
      <x:c r="B55" s="1"/>
      <x:c r="C55" s="1"/>
      <x:c r="D55" s="1"/>
      <x:c r="E55" s="1"/>
      <x:c r="F55" s="1"/>
      <x:c r="G55" s="1"/>
      <x:c r="H55" s="1"/>
      <x:c r="I55" s="1"/>
      <x:c r="J55" s="1"/>
      <x:c r="K55" s="1"/>
      <x:c r="L55" s="1"/>
      <x:c r="M55" s="1"/>
      <x:c r="N55" s="1"/>
      <x:c r="O55" s="1"/>
      <x:c r="P55" s="1"/>
      <x:c r="Q55" s="1"/>
    </x:row>
    <x:row r="56">
      <x:c r="A56" s="1"/>
      <x:c r="B56" s="1"/>
      <x:c r="C56" s="1"/>
      <x:c r="D56" s="1"/>
      <x:c r="E56" s="1"/>
      <x:c r="F56" s="1"/>
      <x:c r="G56" s="1"/>
      <x:c r="H56" s="1"/>
      <x:c r="I56" s="1"/>
      <x:c r="J56" s="1"/>
      <x:c r="K56" s="1"/>
      <x:c r="L56" s="1"/>
      <x:c r="M56" s="1"/>
      <x:c r="N56" s="1"/>
      <x:c r="O56" s="1"/>
      <x:c r="P56" s="1"/>
      <x:c r="Q56" s="1"/>
    </x:row>
    <x:row r="57">
      <x:c r="A57" s="1"/>
      <x:c r="B57" s="1"/>
      <x:c r="C57" s="1"/>
      <x:c r="D57" s="1"/>
      <x:c r="E57" s="1"/>
      <x:c r="F57" s="1"/>
      <x:c r="G57" s="1"/>
      <x:c r="H57" s="1"/>
      <x:c r="I57" s="1"/>
      <x:c r="J57" s="1"/>
      <x:c r="K57" s="1"/>
      <x:c r="L57" s="1"/>
      <x:c r="M57" s="1"/>
      <x:c r="N57" s="1"/>
      <x:c r="O57" s="1"/>
      <x:c r="P57" s="1"/>
      <x:c r="Q57" s="1"/>
    </x:row>
    <x:row r="58">
      <x:c r="A58" s="1"/>
      <x:c r="B58" s="1"/>
      <x:c r="C58" s="1"/>
      <x:c r="D58" s="1"/>
      <x:c r="E58" s="1"/>
      <x:c r="F58" s="1"/>
      <x:c r="G58" s="1"/>
      <x:c r="H58" s="1"/>
      <x:c r="I58" s="1"/>
      <x:c r="J58" s="1"/>
      <x:c r="K58" s="1"/>
      <x:c r="L58" s="1"/>
      <x:c r="M58" s="1"/>
      <x:c r="N58" s="1"/>
      <x:c r="O58" s="1"/>
      <x:c r="P58" s="1"/>
      <x:c r="Q58" s="1"/>
    </x:row>
    <x:row r="59">
      <x:c r="A59" s="1"/>
      <x:c r="B59" s="1"/>
      <x:c r="C59" s="1"/>
      <x:c r="D59" s="1"/>
      <x:c r="E59" s="1"/>
      <x:c r="F59" s="1"/>
      <x:c r="G59" s="1"/>
      <x:c r="H59" s="1"/>
      <x:c r="I59" s="1"/>
      <x:c r="J59" s="1"/>
      <x:c r="K59" s="1"/>
      <x:c r="L59" s="1"/>
      <x:c r="M59" s="1"/>
      <x:c r="N59" s="1"/>
      <x:c r="O59" s="1"/>
      <x:c r="P59" s="1"/>
      <x:c r="Q59" s="1"/>
    </x:row>
    <x:row r="60">
      <x:c r="A60" s="1"/>
      <x:c r="B60" s="1"/>
      <x:c r="C60" s="1"/>
      <x:c r="D60" s="1"/>
      <x:c r="E60" s="1"/>
      <x:c r="F60" s="1"/>
      <x:c r="G60" s="1"/>
      <x:c r="H60" s="1"/>
      <x:c r="I60" s="1"/>
      <x:c r="J60" s="1"/>
      <x:c r="K60" s="1"/>
      <x:c r="L60" s="1"/>
      <x:c r="M60" s="1"/>
      <x:c r="N60" s="1"/>
      <x:c r="O60" s="1"/>
      <x:c r="P60" s="1"/>
      <x:c r="Q60" s="1"/>
    </x:row>
    <x:row r="61">
      <x:c r="A61" s="1"/>
      <x:c r="B61" s="1"/>
      <x:c r="C61" s="1"/>
      <x:c r="D61" s="1"/>
      <x:c r="E61" s="1"/>
      <x:c r="F61" s="1"/>
      <x:c r="G61" s="1"/>
      <x:c r="H61" s="1"/>
      <x:c r="I61" s="1"/>
      <x:c r="J61" s="1"/>
      <x:c r="K61" s="1"/>
      <x:c r="L61" s="1"/>
      <x:c r="M61" s="1"/>
      <x:c r="N61" s="1"/>
      <x:c r="O61" s="1"/>
      <x:c r="P61" s="1"/>
      <x:c r="Q61" s="1"/>
    </x:row>
    <x:row r="62">
      <x:c r="A62" s="1"/>
      <x:c r="B62" s="1"/>
      <x:c r="C62" s="1"/>
      <x:c r="D62" s="1"/>
      <x:c r="E62" s="1"/>
      <x:c r="F62" s="1"/>
      <x:c r="G62" s="1"/>
      <x:c r="H62" s="1"/>
      <x:c r="I62" s="1"/>
      <x:c r="J62" s="1"/>
      <x:c r="K62" s="1"/>
      <x:c r="L62" s="1"/>
      <x:c r="M62" s="1"/>
      <x:c r="N62" s="1"/>
      <x:c r="O62" s="1"/>
      <x:c r="P62" s="1"/>
      <x:c r="Q62" s="1"/>
    </x:row>
    <x:row r="63">
      <x:c r="A63" s="1"/>
      <x:c r="B63" s="1"/>
      <x:c r="C63" s="1"/>
      <x:c r="D63" s="1"/>
      <x:c r="E63" s="1"/>
      <x:c r="F63" s="1"/>
      <x:c r="G63" s="1"/>
      <x:c r="H63" s="1"/>
      <x:c r="I63" s="1"/>
      <x:c r="J63" s="1"/>
      <x:c r="K63" s="1"/>
      <x:c r="L63" s="1"/>
      <x:c r="M63" s="1"/>
      <x:c r="N63" s="1"/>
      <x:c r="O63" s="1"/>
      <x:c r="P63" s="1"/>
      <x:c r="Q63" s="1"/>
    </x:row>
    <x:row r="64">
      <x:c r="A64" s="1"/>
      <x:c r="B64" s="1"/>
      <x:c r="C64" s="1"/>
      <x:c r="D64" s="1"/>
      <x:c r="E64" s="1"/>
      <x:c r="F64" s="1"/>
      <x:c r="G64" s="1"/>
      <x:c r="H64" s="1"/>
      <x:c r="I64" s="1"/>
      <x:c r="J64" s="1"/>
      <x:c r="K64" s="1"/>
      <x:c r="L64" s="1"/>
      <x:c r="M64" s="1"/>
      <x:c r="N64" s="1"/>
      <x:c r="O64" s="1"/>
      <x:c r="P64" s="1"/>
      <x:c r="Q64" s="1"/>
    </x:row>
    <x:row r="65">
      <x:c r="A65" s="1"/>
      <x:c r="B65" s="1"/>
      <x:c r="C65" s="1"/>
      <x:c r="D65" s="1"/>
      <x:c r="E65" s="1"/>
      <x:c r="F65" s="1"/>
      <x:c r="G65" s="1"/>
      <x:c r="H65" s="1"/>
      <x:c r="I65" s="1"/>
      <x:c r="J65" s="1"/>
      <x:c r="K65" s="1"/>
      <x:c r="L65" s="1"/>
      <x:c r="M65" s="1"/>
      <x:c r="N65" s="1"/>
      <x:c r="O65" s="1"/>
      <x:c r="P65" s="1"/>
      <x:c r="Q65" s="1"/>
    </x:row>
    <x:row r="66">
      <x:c r="A66" s="1"/>
      <x:c r="B66" s="1"/>
      <x:c r="C66" s="1"/>
      <x:c r="D66" s="1"/>
      <x:c r="E66" s="1"/>
      <x:c r="F66" s="1"/>
      <x:c r="G66" s="1"/>
      <x:c r="H66" s="1"/>
      <x:c r="I66" s="1"/>
      <x:c r="J66" s="1"/>
      <x:c r="K66" s="1"/>
      <x:c r="L66" s="1"/>
      <x:c r="M66" s="1"/>
      <x:c r="N66" s="1"/>
      <x:c r="O66" s="1"/>
      <x:c r="P66" s="1"/>
      <x:c r="Q66" s="1"/>
    </x:row>
    <x:row r="67">
      <x:c r="A67" s="1"/>
      <x:c r="B67" s="1"/>
      <x:c r="C67" s="1"/>
      <x:c r="D67" s="1"/>
      <x:c r="E67" s="1"/>
      <x:c r="F67" s="1"/>
      <x:c r="G67" s="1"/>
      <x:c r="H67" s="1"/>
      <x:c r="I67" s="1"/>
      <x:c r="J67" s="1"/>
      <x:c r="K67" s="1"/>
      <x:c r="L67" s="1"/>
      <x:c r="M67" s="1"/>
      <x:c r="N67" s="1"/>
      <x:c r="O67" s="1"/>
      <x:c r="P67" s="1"/>
      <x:c r="Q67" s="1"/>
    </x:row>
    <x:row r="68">
      <x:c r="A68" s="1"/>
      <x:c r="B68" s="1"/>
      <x:c r="C68" s="1"/>
      <x:c r="D68" s="1"/>
      <x:c r="E68" s="1"/>
      <x:c r="F68" s="1"/>
      <x:c r="G68" s="1"/>
      <x:c r="H68" s="1"/>
      <x:c r="I68" s="1"/>
      <x:c r="J68" s="1"/>
      <x:c r="K68" s="1"/>
      <x:c r="L68" s="1"/>
      <x:c r="M68" s="1"/>
      <x:c r="N68" s="1"/>
      <x:c r="O68" s="1"/>
      <x:c r="P68" s="1"/>
      <x:c r="Q68" s="1"/>
    </x:row>
    <x:row r="69">
      <x:c r="A69" s="1"/>
      <x:c r="B69" s="1"/>
      <x:c r="C69" s="1"/>
      <x:c r="D69" s="1"/>
      <x:c r="E69" s="1"/>
      <x:c r="F69" s="1"/>
      <x:c r="G69" s="1"/>
      <x:c r="H69" s="1"/>
      <x:c r="I69" s="1"/>
      <x:c r="J69" s="1"/>
      <x:c r="K69" s="1"/>
      <x:c r="L69" s="1"/>
      <x:c r="M69" s="1"/>
      <x:c r="N69" s="1"/>
      <x:c r="O69" s="1"/>
      <x:c r="P69" s="1"/>
      <x:c r="Q69" s="1"/>
    </x:row>
    <x:row r="70">
      <x:c r="A70" s="1"/>
      <x:c r="B70" s="1"/>
      <x:c r="C70" s="1"/>
      <x:c r="D70" s="1"/>
      <x:c r="E70" s="1"/>
      <x:c r="F70" s="1"/>
      <x:c r="G70" s="1"/>
      <x:c r="H70" s="1"/>
      <x:c r="I70" s="1"/>
      <x:c r="J70" s="1"/>
      <x:c r="K70" s="1"/>
      <x:c r="L70" s="1"/>
      <x:c r="M70" s="1"/>
      <x:c r="N70" s="1"/>
      <x:c r="O70" s="1"/>
      <x:c r="P70" s="1"/>
      <x:c r="Q70" s="1"/>
    </x:row>
    <x:row r="71">
      <x:c r="A71" s="1"/>
      <x:c r="B71" s="1"/>
      <x:c r="C71" s="1"/>
      <x:c r="D71" s="1"/>
      <x:c r="E71" s="1"/>
      <x:c r="F71" s="1"/>
      <x:c r="G71" s="1"/>
      <x:c r="H71" s="1"/>
      <x:c r="I71" s="1"/>
      <x:c r="J71" s="1"/>
      <x:c r="K71" s="1"/>
      <x:c r="L71" s="1"/>
      <x:c r="M71" s="1"/>
      <x:c r="N71" s="1"/>
      <x:c r="O71" s="1"/>
      <x:c r="P71" s="1"/>
      <x:c r="Q71" s="1"/>
    </x:row>
    <x:row r="72">
      <x:c r="A72" s="1"/>
      <x:c r="B72" s="1"/>
      <x:c r="C72" s="1"/>
      <x:c r="D72" s="1"/>
      <x:c r="E72" s="1"/>
      <x:c r="F72" s="1"/>
      <x:c r="G72" s="1"/>
      <x:c r="H72" s="1"/>
      <x:c r="I72" s="1"/>
      <x:c r="J72" s="1"/>
      <x:c r="K72" s="1"/>
      <x:c r="L72" s="1"/>
      <x:c r="M72" s="1"/>
      <x:c r="N72" s="1"/>
      <x:c r="O72" s="1"/>
      <x:c r="P72" s="1"/>
      <x:c r="Q72" s="1"/>
    </x:row>
    <x:row r="73">
      <x:c r="A73" s="1"/>
      <x:c r="B73" s="1"/>
      <x:c r="C73" s="1"/>
      <x:c r="D73" s="1"/>
      <x:c r="E73" s="1"/>
      <x:c r="F73" s="1"/>
      <x:c r="G73" s="1"/>
      <x:c r="H73" s="1"/>
      <x:c r="I73" s="1"/>
      <x:c r="J73" s="1"/>
      <x:c r="K73" s="1"/>
      <x:c r="L73" s="1"/>
      <x:c r="M73" s="1"/>
      <x:c r="N73" s="1"/>
      <x:c r="O73" s="1"/>
      <x:c r="P73" s="1"/>
      <x:c r="Q73" s="1"/>
    </x:row>
    <x:row r="74">
      <x:c r="A74" s="1"/>
      <x:c r="B74" s="1"/>
      <x:c r="C74" s="1"/>
      <x:c r="D74" s="1"/>
      <x:c r="E74" s="1"/>
      <x:c r="F74" s="1"/>
      <x:c r="G74" s="1"/>
      <x:c r="H74" s="1"/>
      <x:c r="I74" s="1"/>
      <x:c r="J74" s="1"/>
      <x:c r="K74" s="1"/>
      <x:c r="L74" s="1"/>
      <x:c r="M74" s="1"/>
      <x:c r="N74" s="1"/>
      <x:c r="O74" s="1"/>
      <x:c r="P74" s="1"/>
      <x:c r="Q74" s="1"/>
    </x:row>
    <x:row r="75">
      <x:c r="A75" s="1"/>
      <x:c r="B75" s="1"/>
      <x:c r="C75" s="1"/>
      <x:c r="D75" s="1"/>
      <x:c r="E75" s="1"/>
      <x:c r="F75" s="1"/>
      <x:c r="G75" s="1"/>
      <x:c r="H75" s="1"/>
      <x:c r="I75" s="1"/>
      <x:c r="J75" s="1"/>
      <x:c r="K75" s="1"/>
      <x:c r="L75" s="1"/>
      <x:c r="M75" s="1"/>
      <x:c r="N75" s="1"/>
      <x:c r="O75" s="1"/>
      <x:c r="P75" s="1"/>
      <x:c r="Q75" s="1"/>
    </x:row>
    <x:row r="76">
      <x:c r="A76" s="1"/>
      <x:c r="B76" s="1"/>
      <x:c r="C76" s="1"/>
      <x:c r="D76" s="1"/>
      <x:c r="E76" s="1"/>
      <x:c r="F76" s="1"/>
      <x:c r="G76" s="1"/>
      <x:c r="H76" s="1"/>
      <x:c r="I76" s="1"/>
      <x:c r="J76" s="1"/>
      <x:c r="K76" s="1"/>
      <x:c r="L76" s="1"/>
      <x:c r="M76" s="1"/>
      <x:c r="N76" s="1"/>
      <x:c r="O76" s="1"/>
      <x:c r="P76" s="1"/>
      <x:c r="Q76" s="1"/>
    </x:row>
    <x:row r="77">
      <x:c r="A77" s="1"/>
      <x:c r="B77" s="1"/>
      <x:c r="C77" s="1"/>
      <x:c r="D77" s="1"/>
      <x:c r="E77" s="1"/>
      <x:c r="F77" s="1"/>
      <x:c r="G77" s="1"/>
      <x:c r="H77" s="1"/>
      <x:c r="I77" s="1"/>
      <x:c r="J77" s="1"/>
      <x:c r="K77" s="1"/>
      <x:c r="L77" s="1"/>
      <x:c r="M77" s="1"/>
      <x:c r="N77" s="1"/>
      <x:c r="O77" s="1"/>
      <x:c r="P77" s="1"/>
      <x:c r="Q77" s="1"/>
    </x:row>
    <x:row r="78">
      <x:c r="A78" s="1"/>
      <x:c r="B78" s="1"/>
      <x:c r="C78" s="1"/>
      <x:c r="D78" s="1"/>
      <x:c r="E78" s="1"/>
      <x:c r="F78" s="1"/>
      <x:c r="G78" s="1"/>
      <x:c r="H78" s="1"/>
      <x:c r="I78" s="1"/>
      <x:c r="J78" s="1"/>
      <x:c r="K78" s="1"/>
      <x:c r="L78" s="1"/>
      <x:c r="M78" s="1"/>
      <x:c r="N78" s="1"/>
      <x:c r="O78" s="1"/>
      <x:c r="P78" s="1"/>
      <x:c r="Q78" s="1"/>
    </x:row>
    <x:row r="79">
      <x:c r="A79" s="1"/>
      <x:c r="B79" s="1"/>
      <x:c r="C79" s="1"/>
      <x:c r="D79" s="1"/>
      <x:c r="E79" s="1"/>
      <x:c r="F79" s="1"/>
      <x:c r="G79" s="1"/>
      <x:c r="H79" s="1"/>
      <x:c r="I79" s="1"/>
      <x:c r="J79" s="1"/>
      <x:c r="K79" s="1"/>
      <x:c r="L79" s="1"/>
      <x:c r="M79" s="1"/>
      <x:c r="N79" s="1"/>
      <x:c r="O79" s="1"/>
      <x:c r="P79" s="1"/>
      <x:c r="Q79" s="1"/>
    </x:row>
    <x:row r="80">
      <x:c r="A80" s="1"/>
      <x:c r="B80" s="1"/>
      <x:c r="C80" s="1"/>
      <x:c r="D80" s="1"/>
      <x:c r="E80" s="1"/>
      <x:c r="F80" s="1"/>
      <x:c r="G80" s="1"/>
      <x:c r="H80" s="1"/>
      <x:c r="I80" s="1"/>
      <x:c r="J80" s="1"/>
      <x:c r="K80" s="1"/>
      <x:c r="L80" s="1"/>
      <x:c r="M80" s="1"/>
      <x:c r="N80" s="1"/>
      <x:c r="O80" s="1"/>
      <x:c r="P80" s="1"/>
      <x:c r="Q80" s="1"/>
    </x:row>
  </x:sheetData>
  <x:mergeCells>
    <x:mergeCell ref="A2:F2"/>
  </x:mergeCells>
  <x:conditionalFormatting sqref="F17:F22">
    <x:cfRule type="cellIs" dxfId="0" priority="1" operator="notEqual">
      <x:formula>0</x:formula>
    </x:cfRule>
  </x:conditionalFormatting>
  <x:pageMargins left="0.7" right="0.7" top="0.75" bottom="0.75" header="0.3" footer="0.3"/>
  <x:tableParts count="1">
    <x:tablePart xmlns:r="http://schemas.openxmlformats.org/officeDocument/2006/relationships" r:id="Rb8d2ac61252f4c29"/>
  </x:tableParts>
</x:worksheet>
</file>

<file path=xl/worksheets/sheet3.xml><?xml version="1.0" encoding="utf-8"?>
<x:worksheet xmlns:x="http://schemas.openxmlformats.org/spreadsheetml/2006/main">
  <x:sheetPr>
    <x:tabColor rgb="FFA5A5A5"/>
  </x:sheetPr>
  <x:sheetViews>
    <x:sheetView showGridLines="0" workbookViewId="0">
      <x:pane xSplit="3" ySplit="6" topLeftCell="D7" activePane="bottomRight" state="frozen"/>
    </x:sheetView>
  </x:sheetViews>
  <x:sheetFormatPr defaultRowHeight="15"/>
  <x:cols>
    <x:col min="1" max="1" width="11" hidden="0" customWidth="1"/>
    <x:col min="2" max="2" width="24" hidden="0" customWidth="1"/>
    <x:col min="3" max="3" width="34" hidden="0" customWidth="1"/>
    <x:col min="4" max="4" width="52" hidden="0" customWidth="1"/>
    <x:col min="5" max="5" width="38" hidden="0" customWidth="1"/>
    <x:col min="6" max="6" width="72" hidden="0" customWidth="1"/>
    <x:col min="7" max="7" width="34" hidden="0" customWidth="1"/>
    <x:col min="8" max="8" width="34" hidden="0" customWidth="1"/>
    <x:col min="9" max="9" width="24" hidden="0" customWidth="1"/>
  </x:cols>
  <x:sheetData>
    <x:row r="1">
      <x:c r="A1" s="1"/>
      <x:c r="B1" s="1"/>
      <x:c r="C1" s="1"/>
      <x:c r="D1" s="1"/>
      <x:c r="E1" s="1"/>
      <x:c r="F1" s="1"/>
      <x:c r="G1" s="1"/>
      <x:c r="H1" s="1"/>
      <x:c r="I1" s="1"/>
      <x:c r="J1" s="1"/>
      <x:c r="K1" s="1"/>
      <x:c r="L1" s="1"/>
      <x:c r="M1" s="1"/>
      <x:c r="N1" s="1"/>
      <x:c r="O1" s="1"/>
      <x:c r="P1" s="1"/>
      <x:c r="Q1" s="1"/>
    </x:row>
    <x:row r="2">
      <x:c r="A2" s="2" t="str">
        <x:v>Pilot set: original 10 papers</x:v>
      </x:c>
      <x:c r="B2" s="1"/>
      <x:c r="C2" s="1"/>
      <x:c r="D2" s="1"/>
      <x:c r="E2" s="1"/>
      <x:c r="F2" s="1"/>
      <x:c r="G2" s="1"/>
      <x:c r="H2" s="1"/>
      <x:c r="I2" s="1"/>
      <x:c r="J2" s="1"/>
      <x:c r="K2" s="1"/>
      <x:c r="L2" s="1"/>
      <x:c r="M2" s="1"/>
      <x:c r="N2" s="1"/>
      <x:c r="O2" s="1"/>
      <x:c r="P2" s="1"/>
      <x:c r="Q2" s="1"/>
    </x:row>
    <x:row r="3">
      <x:c r="A3" s="3"/>
      <x:c r="B3" s="3"/>
      <x:c r="C3" s="3"/>
      <x:c r="D3" s="3"/>
      <x:c r="E3" s="3"/>
      <x:c r="F3" s="3"/>
      <x:c r="G3" s="3"/>
      <x:c r="H3" s="3"/>
      <x:c r="I3" s="3"/>
      <x:c r="J3" s="1"/>
      <x:c r="K3" s="1"/>
      <x:c r="L3" s="1"/>
      <x:c r="M3" s="1"/>
      <x:c r="N3" s="1"/>
      <x:c r="O3" s="1"/>
      <x:c r="P3" s="1"/>
      <x:c r="Q3" s="1"/>
    </x:row>
    <x:row r="4">
      <x:c r="A4" s="63" t="str">
        <x:v>Keep these outputs for prompt development and pipeline debugging. Do not report them as held-out evaluation results.</x:v>
      </x:c>
      <x:c r="B4" s="1"/>
      <x:c r="C4" s="1"/>
      <x:c r="D4" s="1"/>
      <x:c r="E4" s="1"/>
      <x:c r="F4" s="1"/>
      <x:c r="G4" s="1"/>
      <x:c r="H4" s="1"/>
      <x:c r="I4" s="1"/>
      <x:c r="J4" s="1"/>
      <x:c r="K4" s="1"/>
      <x:c r="L4" s="1"/>
      <x:c r="M4" s="1"/>
      <x:c r="N4" s="1"/>
      <x:c r="O4" s="1"/>
      <x:c r="P4" s="1"/>
      <x:c r="Q4" s="1"/>
    </x:row>
    <x:row r="5">
      <x:c r="A5" s="1"/>
      <x:c r="B5" s="1"/>
      <x:c r="C5" s="1"/>
      <x:c r="D5" s="1"/>
      <x:c r="E5" s="1"/>
      <x:c r="F5" s="1"/>
      <x:c r="G5" s="1"/>
      <x:c r="H5" s="1"/>
      <x:c r="I5" s="1"/>
      <x:c r="J5" s="1"/>
      <x:c r="K5" s="1"/>
      <x:c r="L5" s="1"/>
      <x:c r="M5" s="1"/>
      <x:c r="N5" s="1"/>
      <x:c r="O5" s="1"/>
      <x:c r="P5" s="1"/>
      <x:c r="Q5" s="1"/>
    </x:row>
    <x:row r="6" ht="30" customHeight="1">
      <x:c r="A6" s="68" t="str">
        <x:v>pilot_order</x:v>
      </x:c>
      <x:c r="B6" s="68" t="str">
        <x:v>paper_id</x:v>
      </x:c>
      <x:c r="C6" s="68" t="str">
        <x:v>topic_family</x:v>
      </x:c>
      <x:c r="D6" s="68" t="str">
        <x:v>title</x:v>
      </x:c>
      <x:c r="E6" s="68" t="str">
        <x:v>authors</x:v>
      </x:c>
      <x:c r="F6" s="68" t="str">
        <x:v>abstract</x:v>
      </x:c>
      <x:c r="G6" s="68" t="str">
        <x:v>paper_url</x:v>
      </x:c>
      <x:c r="H6" s="68" t="str">
        <x:v>pdf_url</x:v>
      </x:c>
      <x:c r="I6" s="68" t="str">
        <x:v>use_in_study</x:v>
      </x:c>
      <x:c r="J6" s="1"/>
      <x:c r="K6" s="1"/>
      <x:c r="L6" s="1"/>
      <x:c r="M6" s="1"/>
      <x:c r="N6" s="1"/>
      <x:c r="O6" s="1"/>
      <x:c r="P6" s="1"/>
      <x:c r="Q6" s="1"/>
    </x:row>
    <x:row r="7" ht="62" customHeight="1">
      <x:c r="A7" s="10" t="n">
        <x:v>1</x:v>
      </x:c>
      <x:c r="B7" s="10" t="str">
        <x:v>2025.emnlp-main.1371</x:v>
      </x:c>
      <x:c r="C7" s="10" t="str">
        <x:v>Retrieval &amp; QA</x:v>
      </x:c>
      <x:c r="D7" s="12" t="str">
        <x:v>Conflict-Aware Soft Prompting for Retrieval-Augmented Generation</x:v>
      </x:c>
      <x:c r="E7" s="12" t="str">
        <x:v>Eunseong Choi; June Park; Hyeri Lee; Jongwuk Lee</x:v>
      </x:c>
      <x:c r="F7" s="12" t="str">
        <x:v>Retrieval-augmented generation (RAG) enhances the capabilities of large language models (LLMs) by incorporating external knowledge into their input prompts. However, when the retrieved context contradicts the LLM’s parametric knowledge, it often fails to resolve the conflict between incorrect external context and correct parametric knowledge, known as context-memory conflict. To tackle this problem, we introduce Conflict-Aware REtrieval-Augmented Generation (CARE), consisting of a context assessor and a base LLM. The context assessor encodes external context into compact memory embeddings. Through grounded/adversarial soft prompting, the context assessor is trained to discern unreliable context and capture a guidance signal that directs reasoning toward the more reliable knowledge source. Extensive experiments show that CARE effectively mitigates context-memory conflicts, leading to an average performance gain of 5.0% on QA and fact-checking benchmarks, establishing a promising direction for trustworthy and adaptive RAG systems.</x:v>
      </x:c>
      <x:c r="G7" s="1" t="str">
        <x:v>https://aclanthology.org/2025.emnlp-main.1371/</x:v>
      </x:c>
      <x:c r="H7" s="1" t="str">
        <x:v>https://aclanthology.org/2025.emnlp-main.1371.pdf</x:v>
      </x:c>
      <x:c r="I7" s="72" t="str">
        <x:v>Development/pilot only</x:v>
      </x:c>
      <x:c r="J7" s="1"/>
      <x:c r="K7" s="1"/>
      <x:c r="L7" s="1"/>
      <x:c r="M7" s="1"/>
      <x:c r="N7" s="1"/>
      <x:c r="O7" s="1"/>
      <x:c r="P7" s="1"/>
      <x:c r="Q7" s="1"/>
    </x:row>
    <x:row r="8" ht="62" customHeight="1">
      <x:c r="A8" s="10" t="n">
        <x:v>2</x:v>
      </x:c>
      <x:c r="B8" s="10" t="str">
        <x:v>2025.emnlp-main.66</x:v>
      </x:c>
      <x:c r="C8" s="10" t="str">
        <x:v>Multimodal, dialogue &amp; narrative</x:v>
      </x:c>
      <x:c r="D8" s="12" t="str">
        <x:v>M ovie CORE : CO gnitive RE asoning in Movies</x:v>
      </x:c>
      <x:c r="E8" s="12" t="str">
        <x:v>Gueter Josmy Faure; Min-Hung Chen; Jia-Fong Yeh; Ying Cheng; Hung-Ting Su; Yung-Hao Tang; Shang-Hong Lai; Winston H. Hsu</x:v>
      </x:c>
      <x:c r="F8" s="12" t="str">
        <x:v>This paper introduces MovieCORE, a novel video question answering (VQA) dataset designed to probe deeper cognitive understanding of movie content. Unlike existing datasets that focus on surface-level comprehension, MovieCORE emphasizes questions that engage System-2 thinking while remaining specific to the video material. We present an innovative agentic brainstorming approach, utilizing multiple large language models (LLMs) as thought agents to generate and refine high-quality question-answer pairs. To evaluate dataset quality, we develop a set of cognitive tests assessing depth, thought-provocation potential, and syntactic complexity. We also propose a comprehensive evaluation scheme for assessing VQA model performance on deeper cognitive tasks. To address the limitations of existing video-language models (VLMs), we introduce an agentic enhancement module, Agentic Choice Enhancement (ACE), which improves model reasoning capabilities post-training by 25%. Our work contributes to advancing movie understanding in AI systems and provides valuable insights into the capabilities and limitations of current VQA models when faced with more challenging, nuanced questions about cinematic content. Our project page, dataset and code can be found at https://joslefaure.github.io/assets/html/moviecore.html .</x:v>
      </x:c>
      <x:c r="G8" s="1" t="str">
        <x:v>https://aclanthology.org/2025.emnlp-main.66/</x:v>
      </x:c>
      <x:c r="H8" s="1" t="str">
        <x:v>https://aclanthology.org/2025.emnlp-main.66.pdf</x:v>
      </x:c>
      <x:c r="I8" s="72" t="str">
        <x:v>Development/pilot only</x:v>
      </x:c>
      <x:c r="J8" s="1"/>
      <x:c r="K8" s="1"/>
      <x:c r="L8" s="1"/>
      <x:c r="M8" s="1"/>
      <x:c r="N8" s="1"/>
      <x:c r="O8" s="1"/>
      <x:c r="P8" s="1"/>
      <x:c r="Q8" s="1"/>
    </x:row>
    <x:row r="9" ht="62" customHeight="1">
      <x:c r="A9" s="10" t="n">
        <x:v>3</x:v>
      </x:c>
      <x:c r="B9" s="10" t="str">
        <x:v>2025.emnlp-main.1290</x:v>
      </x:c>
      <x:c r="C9" s="10" t="str">
        <x:v>Interpretability &amp; representation</x:v>
      </x:c>
      <x:c r="D9" s="12" t="str">
        <x:v>f LSA : Learning Semantic Structures in Document Collections Using Foundation Models</x:v>
      </x:c>
      <x:c r="E9" s="12" t="str">
        <x:v>Weijia Xu; Nebojsa Jojic; Nicolas Le Roux</x:v>
      </x:c>
      <x:c r="F9" s="12" t="str">
        <x:v>Humans can learn to solve new tasks by inducing high-level strategies from example solutions to similar problems and then adapting these strategies to solve unseen problems. Can we use large language models to induce such high-level structure from example documents or solutions? We introduce fLSA, a foundation-model-based Latent Semantic Analysis method that iteratively clusters and tags document segments based on document-level contexts. These tags can be used to model the latent structure of given documents and for hierarchical sampling of new texts. Our experiments on story writing, math, and multi-step reasoning datasets demonstrate that fLSA tags are more informative in reconstructing the original texts than existing tagging methods. Moreover, when used for hierarchical sampling, fLSA tags help expand the output space in the right directions that lead to correct solutions more often than direct sampling and hierarchical sampling with existing tagging methods.</x:v>
      </x:c>
      <x:c r="G9" s="1" t="str">
        <x:v>https://aclanthology.org/2025.emnlp-main.1290/</x:v>
      </x:c>
      <x:c r="H9" s="1" t="str">
        <x:v>https://aclanthology.org/2025.emnlp-main.1290.pdf</x:v>
      </x:c>
      <x:c r="I9" s="72" t="str">
        <x:v>Development/pilot only</x:v>
      </x:c>
      <x:c r="J9" s="1"/>
      <x:c r="K9" s="1"/>
      <x:c r="L9" s="1"/>
      <x:c r="M9" s="1"/>
      <x:c r="N9" s="1"/>
      <x:c r="O9" s="1"/>
      <x:c r="P9" s="1"/>
      <x:c r="Q9" s="1"/>
    </x:row>
    <x:row r="10" ht="62" customHeight="1">
      <x:c r="A10" s="10" t="n">
        <x:v>4</x:v>
      </x:c>
      <x:c r="B10" s="10" t="str">
        <x:v>2025.emnlp-main.942</x:v>
      </x:c>
      <x:c r="C10" s="10" t="str">
        <x:v>Interpretability &amp; representation</x:v>
      </x:c>
      <x:c r="D10" s="12" t="str">
        <x:v>Group- SAE : Efficient Training of Sparse Autoencoders for Large Language Models via Layer Groups</x:v>
      </x:c>
      <x:c r="E10" s="12" t="str">
        <x:v>Davide Ghilardi; Federico Belotti; Marco Molinari; Tao Ma; Matteo Palmonari</x:v>
      </x:c>
      <x:c r="F10" s="12" t="str">
        <x:v>Sparse AutoEncoders (SAEs) have recently been employed as a promising unsupervised approach for understanding the representations of layers of Large Language Models (LLMs). However, with the growth in model size and complexity, training SAEs is computationally intensive, as typically one SAE is trained for each model layer. To address such limitation, we propose Group-SAE , a novel strategy to train SAEs. Our method considers the similarity of the residual stream representations between contiguous layers to group similar layers and train a single SAE per group. To balance the trade-off between efficiency and performance, we further introduce AMAD (Average Maximum Angular Distance), an empirical metric that guides the selection of an optimal number of groups based on representational similarity across layers. Experiments on models from the Pythia family show that our approach significantly accelerates training with minimal impact on reconstruction quality and comparable downstream task performance and interpretability over baseline SAEs trained layer by layer. This method provides an efficient and scalable strategy for training SAEs in modern LLMs.</x:v>
      </x:c>
      <x:c r="G10" s="1" t="str">
        <x:v>https://aclanthology.org/2025.emnlp-main.942/</x:v>
      </x:c>
      <x:c r="H10" s="1" t="str">
        <x:v>https://aclanthology.org/2025.emnlp-main.942.pdf</x:v>
      </x:c>
      <x:c r="I10" s="72" t="str">
        <x:v>Development/pilot only</x:v>
      </x:c>
      <x:c r="J10" s="1"/>
      <x:c r="K10" s="1"/>
      <x:c r="L10" s="1"/>
      <x:c r="M10" s="1"/>
      <x:c r="N10" s="1"/>
      <x:c r="O10" s="1"/>
      <x:c r="P10" s="1"/>
      <x:c r="Q10" s="1"/>
    </x:row>
    <x:row r="11" ht="62" customHeight="1">
      <x:c r="A11" s="10" t="n">
        <x:v>5</x:v>
      </x:c>
      <x:c r="B11" s="10" t="str">
        <x:v>2025.emnlp-main.1068</x:v>
      </x:c>
      <x:c r="C11" s="10" t="str">
        <x:v>Reasoning &amp; agents</x:v>
      </x:c>
      <x:c r="D11" s="12" t="str">
        <x:v>Step Guided Reasoning: Improving Mathematical Reasoning using Guidance Generation and Step Reasoning</x:v>
      </x:c>
      <x:c r="E11" s="12" t="str">
        <x:v>Lang Cao; Yingtian Zou; Chao Peng; Renhong Chen; Wu Ning; Yitong Li</x:v>
      </x:c>
      <x:c r="F11" s="12" t="str">
        <x:v>Mathematical reasoning has been challenging for large language models (LLMs), and the introduction of step-by-step Chain-of-Thought (CoT) inference has significantly advanced the mathematical capabilities of LLMs. However, current approaches either necessitate extensive inference datasets for training or depend on few-shot methods that frequently compromise computational accuracy. To address these fundamental limitations, we propose Step Guided Reasoning, a novel training-free adaptation framework that efficiently equips general-purpose pre-trained language models with enhanced mathematical reasoning capabilities. In this approach, LLMs reflect on small reasoning steps, similar to how humans deliberate and focus attention on what to do next. By incorporating this reflective process into the inference stage, LLMs can effectively guide their reasoning from one step to the next. Through extensive experiments, we demonstrate the significant effect of Step Guided Reasoning in enhancing mathematical performance in state-of-the-art language models – Qwen2-72B-Instruct outperforms its math-specific counterpart, Qwen2.5-72B-Math-Instruct, on MMLU-STEM with a score of 90.9%, compared to 87.3%. The average scores of Qwen2-7B-Instruct and Qwen2-72B-Instruct increase from 27.1% to 36. 3% and from 36. 5% to 47.4% in the math domain, respectively.</x:v>
      </x:c>
      <x:c r="G11" s="1" t="str">
        <x:v>https://aclanthology.org/2025.emnlp-main.1068/</x:v>
      </x:c>
      <x:c r="H11" s="1" t="str">
        <x:v>https://aclanthology.org/2025.emnlp-main.1068.pdf</x:v>
      </x:c>
      <x:c r="I11" s="72" t="str">
        <x:v>Development/pilot only</x:v>
      </x:c>
      <x:c r="J11" s="1"/>
      <x:c r="K11" s="1"/>
      <x:c r="L11" s="1"/>
      <x:c r="M11" s="1"/>
      <x:c r="N11" s="1"/>
      <x:c r="O11" s="1"/>
      <x:c r="P11" s="1"/>
      <x:c r="Q11" s="1"/>
    </x:row>
    <x:row r="12" ht="62" customHeight="1">
      <x:c r="A12" s="10" t="n">
        <x:v>6</x:v>
      </x:c>
      <x:c r="B12" s="10" t="str">
        <x:v>2025.emnlp-main.611</x:v>
      </x:c>
      <x:c r="C12" s="10" t="str">
        <x:v>Reasoning &amp; agents</x:v>
      </x:c>
      <x:c r="D12" s="12" t="str">
        <x:v>Can an Individual Manipulate the Collective Decisions of Multi-Agents?</x:v>
      </x:c>
      <x:c r="E12" s="12" t="str">
        <x:v>Fengyuan Liu; Rui Zhao; Shuo Chen; Guohao Li; Philip Torr; Lei Han; Jindong Gu</x:v>
      </x:c>
      <x:c r="F12" s="12" t="str">
        <x:v>Individual Large Language Models (LLMs) have demonstrated significant capabilities across various domains, such as healthcare and law. Recent studies also show that coordinated multi-agent systems exhibit enhanced decision-making and reasoning abilities through collaboration. However, due to the vulnerabilities of individual LLMs and the difficulty of accessing all agents in a multi-agent system, a key question arises: If attackers only know one agent, could they still generate adversarial samples capable of misleading the collective decision?To explore this question, we formulate it as a game with incomplete information, where attackers know only one target agent and lack knowledge of the other agents in the system. With this formulation, we propose M-Spoiler, a framework that simulates agent interactions within a multi-agent system to generate adversarial samples. These samples are then used to manipulate the target agent in the target system, misleading the system’s collaborative decision-making process.More specifically, M-Spoiler introduces a stubborn agent that actively aids in optimizing adversarial samples by simulating potential stubborn responses from agents in the target system. This enhances the effectiveness of the generated adversarial samples in misleading the system.Through extensive experiments across various tasks, our findings confirm the risks posed by the knowledge of an individual agent in multi-agent systems and demonstrate the effectiveness of our framework.We also explore several defense mechanisms, showing that our proposed attack framework remains more potent than baselines, underscoring the need for further research into defensive strategies.</x:v>
      </x:c>
      <x:c r="G12" s="1" t="str">
        <x:v>https://aclanthology.org/2025.emnlp-main.611/</x:v>
      </x:c>
      <x:c r="H12" s="1" t="str">
        <x:v>https://aclanthology.org/2025.emnlp-main.611.pdf</x:v>
      </x:c>
      <x:c r="I12" s="72" t="str">
        <x:v>Development/pilot only</x:v>
      </x:c>
      <x:c r="J12" s="1"/>
      <x:c r="K12" s="1"/>
      <x:c r="L12" s="1"/>
      <x:c r="M12" s="1"/>
      <x:c r="N12" s="1"/>
      <x:c r="O12" s="1"/>
      <x:c r="P12" s="1"/>
      <x:c r="Q12" s="1"/>
    </x:row>
    <x:row r="13" ht="62" customHeight="1">
      <x:c r="A13" s="10" t="n">
        <x:v>7</x:v>
      </x:c>
      <x:c r="B13" s="10" t="str">
        <x:v>2025.emnlp-main.427</x:v>
      </x:c>
      <x:c r="C13" s="10" t="str">
        <x:v>Reasoning &amp; agents</x:v>
      </x:c>
      <x:c r="D13" s="12" t="str">
        <x:v>Self-Critique and Refinement for Faithful Natural Language Explanations</x:v>
      </x:c>
      <x:c r="E13" s="12" t="str">
        <x:v>Yingming Wang; Pepa Atanasova</x:v>
      </x:c>
      <x:c r="F13" s="12" t="str">
        <x:v>With the rapid development of Large Language Models (LLMs), Natural Language Explanations (NLEs) have become increasingly important for understanding model predictions. However, these explanations often fail to faithfully represent the model’s actual reasoning process. While existing work has demonstrated that LLMs can self-critique and refine their initial outputs for various tasks, this capability remains unexplored for improving explanation faithfulness. To address this gap, we introduce Self-critique and Refinement for Natural Language Explanations (SR-NLE), a framework that enables models to improve the faithfulness of their own explanations – specifically, post-hoc NLEs – through an iterative critique and refinement process without external supervision. Our framework leverages different feedback mechanisms to guide the refinement process, including natural language self-feedback and, notably, a novel feedback approach based on feature attribution that highlights important input words. Our experiments across three datasets and four state-of-the-art LLMs demonstrate that SR-NLE significantly reduces unfaithfulness rates, with our best method achieving an average unfaithfulness rate of 36.02%, compared to 54.81% for baseline – an absolute reduction of 18.79%. These findings reveal that the investigated LLMs can indeed refine their explanations to better reflect their actual reasoning process, requiring only appropriate guidance through feedback without additional training or fine-tuning.</x:v>
      </x:c>
      <x:c r="G13" s="1" t="str">
        <x:v>https://aclanthology.org/2025.emnlp-main.427/</x:v>
      </x:c>
      <x:c r="H13" s="1" t="str">
        <x:v>https://aclanthology.org/2025.emnlp-main.427.pdf</x:v>
      </x:c>
      <x:c r="I13" s="72" t="str">
        <x:v>Development/pilot only</x:v>
      </x:c>
      <x:c r="J13" s="1"/>
      <x:c r="K13" s="1"/>
      <x:c r="L13" s="1"/>
      <x:c r="M13" s="1"/>
      <x:c r="N13" s="1"/>
      <x:c r="O13" s="1"/>
      <x:c r="P13" s="1"/>
      <x:c r="Q13" s="1"/>
    </x:row>
    <x:row r="14" ht="62" customHeight="1">
      <x:c r="A14" s="10" t="n">
        <x:v>8</x:v>
      </x:c>
      <x:c r="B14" s="10" t="str">
        <x:v>2025.emnlp-main.1729</x:v>
      </x:c>
      <x:c r="C14" s="10" t="str">
        <x:v>Retrieval &amp; QA</x:v>
      </x:c>
      <x:c r="D14" s="12" t="str">
        <x:v>L iterary QA : Towards Effective Evaluation of Long-document Narrative QA</x:v>
      </x:c>
      <x:c r="E14" s="12" t="str">
        <x:v>Tommaso Bonomo; Luca Gioffré; Roberto Navigli</x:v>
      </x:c>
      <x:c r="F14" s="12" t="str">
        <x:v>Question Answering (QA) on narrative text poses a unique challenge to current systems, requiring a deep understanding of long, complex documents. However, the reliability of NarrativeQA, the most widely used benchmark in this domain, is hindered by noisy documents and flawed QA pairs. In this work, we introduce LiteraryQA, a high-quality subset of NarrativeQA focused on literary works. Using a human- and LLM-validated pipeline, we identify and correct low-quality QA samples while removing extraneous text from source documents. We then carry out a meta-evaluation of automatic metrics to clarify how systems should be evaluated on LiteraryQA.This analysis reveals that all n-gram-based metrics have a low system-level correlation to human judgment, while LLM-as-a-Judge evaluations, even with small open-weight models, can strongly agree with the ranking identified by humans.Finally, we benchmark a set of long-context LLMs on LiteraryQA. We release our code and data at https://github.com/sapienzaNLP/LiteraryQA .</x:v>
      </x:c>
      <x:c r="G14" s="1" t="str">
        <x:v>https://aclanthology.org/2025.emnlp-main.1729/</x:v>
      </x:c>
      <x:c r="H14" s="1" t="str">
        <x:v>https://aclanthology.org/2025.emnlp-main.1729.pdf</x:v>
      </x:c>
      <x:c r="I14" s="72" t="str">
        <x:v>Development/pilot only</x:v>
      </x:c>
      <x:c r="J14" s="1"/>
      <x:c r="K14" s="1"/>
      <x:c r="L14" s="1"/>
      <x:c r="M14" s="1"/>
      <x:c r="N14" s="1"/>
      <x:c r="O14" s="1"/>
      <x:c r="P14" s="1"/>
      <x:c r="Q14" s="1"/>
    </x:row>
    <x:row r="15" ht="62" customHeight="1">
      <x:c r="A15" s="10" t="n">
        <x:v>9</x:v>
      </x:c>
      <x:c r="B15" s="10" t="str">
        <x:v>2025.emnlp-main.415</x:v>
      </x:c>
      <x:c r="C15" s="10" t="str">
        <x:v>Responsible NLP &amp; evaluation</x:v>
      </x:c>
      <x:c r="D15" s="12" t="str">
        <x:v>Large Language Models Discriminate Against Speakers of G erman Dialects</x:v>
      </x:c>
      <x:c r="E15" s="12" t="str">
        <x:v>Minh Duc Bui; Carolin Holtermann; Valentin Hofmann; Anne Lauscher; Katharina von der Wense</x:v>
      </x:c>
      <x:c r="F15" s="12" t="str">
        <x:v>Dialects represent a significant component of human culture and are found across all regions of the world. In Germany, more than 40% of the population speaks a regional dialect (Adler and Hansen, 2022). However, despite cultural importance, individuals speaking dialects often face negative societal stereotypes. We examine whether such stereotypes are mirrored by large language models (LLMs). We draw on the sociolinguistic literature on dialect perception to analyze traits commonly associated with dialect speakers. Based on these traits, we assess the dialect naming bias and dialect usage bias expressed by LLMs in two tasks: association task and decision task. To assess a model’s dialect usage bias, we construct a novel evaluation corpus that pairs sentences from seven regional German dialects (e.g., Alemannic and Bavarian) with their standard German counterparts. We find that: (1) in the association task, all evaluated LLMs exhibit significant dialect naming and dialect usage bias against German dialect speakers, reflected in negative adjective associations; (2) all models reproduce these dialect naming and dialect usage biases in their decision making; and (3) contrary to prior work showing minimal bias with explicit demographic mentions, we find that explicitly labeling linguistic demographics—German dialect speakers—amplifies bias more than implicit cues like dialect usage.</x:v>
      </x:c>
      <x:c r="G15" s="1" t="str">
        <x:v>https://aclanthology.org/2025.emnlp-main.415/</x:v>
      </x:c>
      <x:c r="H15" s="1" t="str">
        <x:v>https://aclanthology.org/2025.emnlp-main.415.pdf</x:v>
      </x:c>
      <x:c r="I15" s="72" t="str">
        <x:v>Development/pilot only</x:v>
      </x:c>
      <x:c r="J15" s="1"/>
      <x:c r="K15" s="1"/>
      <x:c r="L15" s="1"/>
      <x:c r="M15" s="1"/>
      <x:c r="N15" s="1"/>
      <x:c r="O15" s="1"/>
      <x:c r="P15" s="1"/>
      <x:c r="Q15" s="1"/>
    </x:row>
    <x:row r="16" ht="62" customHeight="1">
      <x:c r="A16" s="10" t="n">
        <x:v>10</x:v>
      </x:c>
      <x:c r="B16" s="10" t="str">
        <x:v>2025.emnlp-main.977</x:v>
      </x:c>
      <x:c r="C16" s="10" t="str">
        <x:v>Responsible NLP &amp; evaluation</x:v>
      </x:c>
      <x:c r="D16" s="12" t="str">
        <x:v>M ol E rr2 F ix: Benchmarking LLM Trustworthiness in Chemistry via Modular Error Detection, Localization, Explanation, and Correction</x:v>
      </x:c>
      <x:c r="E16" s="12" t="str">
        <x:v>Yuyang Wu; Jinhui Ye; Shuhao Zhang; Lu Dai; Yonatan Bisk; Olexandr Isayev</x:v>
      </x:c>
      <x:c r="F16" s="12" t="str">
        <x:v>Large Language Models (LLMs) have shown growing potential in molecular sciences, but they often produce chemically inaccurate descriptions and struggle to recognize or justify potential errors. This raises important concerns about their robustness and reliability in scientific applications. To support more rigorous evaluation of LLMs in chemical reasoning, we present the MolErr2Fix benchmark, designed to assess LLMs on error detection and correction in molecular descriptions. Unlike existing benchmarks focused on molecule-to-text generation or property prediction, MolErr2Fix emphasizes fine-grained chemical understanding. It tasks LLMs with identifying, localizing, explaining, and revising potential structural and semantic errors in molecular descriptions. Specifically, MolErr2Fix consists of 1,193 fine-grained annotated error instances. Each instance contains quadruple annotations, i.e., (error type, span location, the explanation, and the correction). These tasks are intended to reflect the types of reasoning and verification required in real-world chemical communication. Evaluations of current state-of-the-art LLMs reveal notable performance gaps, underscoring the need for more robust chemical reasoning capabilities. MolErr2Fix provides a focused benchmark for evaluating such capabilities and aims to support progress toward more reliable and chemically informed language models. All annotations and an accompanying evaluation API will be publicly released to facilitate future research.</x:v>
      </x:c>
      <x:c r="G16" s="1" t="str">
        <x:v>https://aclanthology.org/2025.emnlp-main.977/</x:v>
      </x:c>
      <x:c r="H16" s="1" t="str">
        <x:v>https://aclanthology.org/2025.emnlp-main.977.pdf</x:v>
      </x:c>
      <x:c r="I16" s="72" t="str">
        <x:v>Development/pilot only</x:v>
      </x:c>
      <x:c r="J16" s="1"/>
      <x:c r="K16" s="1"/>
      <x:c r="L16" s="1"/>
      <x:c r="M16" s="1"/>
      <x:c r="N16" s="1"/>
      <x:c r="O16" s="1"/>
      <x:c r="P16" s="1"/>
      <x:c r="Q16" s="1"/>
    </x:row>
    <x:row r="17">
      <x:c r="A17" s="1"/>
      <x:c r="B17" s="1"/>
      <x:c r="C17" s="1"/>
      <x:c r="D17" s="1"/>
      <x:c r="E17" s="1"/>
      <x:c r="F17" s="1"/>
      <x:c r="G17" s="1"/>
      <x:c r="H17" s="1"/>
      <x:c r="I17" s="1"/>
      <x:c r="J17" s="1"/>
      <x:c r="K17" s="1"/>
      <x:c r="L17" s="1"/>
      <x:c r="M17" s="1"/>
      <x:c r="N17" s="1"/>
      <x:c r="O17" s="1"/>
      <x:c r="P17" s="1"/>
      <x:c r="Q17" s="1"/>
    </x:row>
    <x:row r="18">
      <x:c r="A18" s="1"/>
      <x:c r="B18" s="1"/>
      <x:c r="C18" s="1"/>
      <x:c r="D18" s="1"/>
      <x:c r="E18" s="1"/>
      <x:c r="F18" s="1"/>
      <x:c r="G18" s="1"/>
      <x:c r="H18" s="1"/>
      <x:c r="I18" s="1"/>
      <x:c r="J18" s="1"/>
      <x:c r="K18" s="1"/>
      <x:c r="L18" s="1"/>
      <x:c r="M18" s="1"/>
      <x:c r="N18" s="1"/>
      <x:c r="O18" s="1"/>
      <x:c r="P18" s="1"/>
      <x:c r="Q18" s="1"/>
    </x:row>
    <x:row r="19">
      <x:c r="A19" s="1"/>
      <x:c r="B19" s="1"/>
      <x:c r="C19" s="1"/>
      <x:c r="D19" s="1"/>
      <x:c r="E19" s="1"/>
      <x:c r="F19" s="1"/>
      <x:c r="G19" s="1"/>
      <x:c r="H19" s="1"/>
      <x:c r="I19" s="1"/>
      <x:c r="J19" s="1"/>
      <x:c r="K19" s="1"/>
      <x:c r="L19" s="1"/>
      <x:c r="M19" s="1"/>
      <x:c r="N19" s="1"/>
      <x:c r="O19" s="1"/>
      <x:c r="P19" s="1"/>
      <x:c r="Q19" s="1"/>
    </x:row>
    <x:row r="20">
      <x:c r="A20" s="1"/>
      <x:c r="B20" s="1"/>
      <x:c r="C20" s="1"/>
      <x:c r="D20" s="1"/>
      <x:c r="E20" s="1"/>
      <x:c r="F20" s="1"/>
      <x:c r="G20" s="1"/>
      <x:c r="H20" s="1"/>
      <x:c r="I20" s="1"/>
      <x:c r="J20" s="1"/>
      <x:c r="K20" s="1"/>
      <x:c r="L20" s="1"/>
      <x:c r="M20" s="1"/>
      <x:c r="N20" s="1"/>
      <x:c r="O20" s="1"/>
      <x:c r="P20" s="1"/>
      <x:c r="Q20" s="1"/>
    </x:row>
    <x:row r="21">
      <x:c r="A21" s="1"/>
      <x:c r="B21" s="1"/>
      <x:c r="C21" s="1"/>
      <x:c r="D21" s="1"/>
      <x:c r="E21" s="1"/>
      <x:c r="F21" s="1"/>
      <x:c r="G21" s="1"/>
      <x:c r="H21" s="1"/>
      <x:c r="I21" s="1"/>
      <x:c r="J21" s="1"/>
      <x:c r="K21" s="1"/>
      <x:c r="L21" s="1"/>
      <x:c r="M21" s="1"/>
      <x:c r="N21" s="1"/>
      <x:c r="O21" s="1"/>
      <x:c r="P21" s="1"/>
      <x:c r="Q21" s="1"/>
    </x:row>
    <x:row r="22">
      <x:c r="A22" s="1"/>
      <x:c r="B22" s="1"/>
      <x:c r="C22" s="1"/>
      <x:c r="D22" s="1"/>
      <x:c r="E22" s="1"/>
      <x:c r="F22" s="1"/>
      <x:c r="G22" s="1"/>
      <x:c r="H22" s="1"/>
      <x:c r="I22" s="1"/>
      <x:c r="J22" s="1"/>
      <x:c r="K22" s="1"/>
      <x:c r="L22" s="1"/>
      <x:c r="M22" s="1"/>
      <x:c r="N22" s="1"/>
      <x:c r="O22" s="1"/>
      <x:c r="P22" s="1"/>
      <x:c r="Q22" s="1"/>
    </x:row>
    <x:row r="23">
      <x:c r="A23" s="1"/>
      <x:c r="B23" s="1"/>
      <x:c r="C23" s="1"/>
      <x:c r="D23" s="1"/>
      <x:c r="E23" s="1"/>
      <x:c r="F23" s="1"/>
      <x:c r="G23" s="1"/>
      <x:c r="H23" s="1"/>
      <x:c r="I23" s="1"/>
      <x:c r="J23" s="1"/>
      <x:c r="K23" s="1"/>
      <x:c r="L23" s="1"/>
      <x:c r="M23" s="1"/>
      <x:c r="N23" s="1"/>
      <x:c r="O23" s="1"/>
      <x:c r="P23" s="1"/>
      <x:c r="Q23" s="1"/>
    </x:row>
    <x:row r="24">
      <x:c r="A24" s="1"/>
      <x:c r="B24" s="1"/>
      <x:c r="C24" s="1"/>
      <x:c r="D24" s="1"/>
      <x:c r="E24" s="1"/>
      <x:c r="F24" s="1"/>
      <x:c r="G24" s="1"/>
      <x:c r="H24" s="1"/>
      <x:c r="I24" s="1"/>
      <x:c r="J24" s="1"/>
      <x:c r="K24" s="1"/>
      <x:c r="L24" s="1"/>
      <x:c r="M24" s="1"/>
      <x:c r="N24" s="1"/>
      <x:c r="O24" s="1"/>
      <x:c r="P24" s="1"/>
      <x:c r="Q24" s="1"/>
    </x:row>
    <x:row r="25">
      <x:c r="A25" s="1"/>
      <x:c r="B25" s="1"/>
      <x:c r="C25" s="1"/>
      <x:c r="D25" s="1"/>
      <x:c r="E25" s="1"/>
      <x:c r="F25" s="1"/>
      <x:c r="G25" s="1"/>
      <x:c r="H25" s="1"/>
      <x:c r="I25" s="1"/>
      <x:c r="J25" s="1"/>
      <x:c r="K25" s="1"/>
      <x:c r="L25" s="1"/>
      <x:c r="M25" s="1"/>
      <x:c r="N25" s="1"/>
      <x:c r="O25" s="1"/>
      <x:c r="P25" s="1"/>
      <x:c r="Q25" s="1"/>
    </x:row>
    <x:row r="26">
      <x:c r="A26" s="1"/>
      <x:c r="B26" s="1"/>
      <x:c r="C26" s="1"/>
      <x:c r="D26" s="1"/>
      <x:c r="E26" s="1"/>
      <x:c r="F26" s="1"/>
      <x:c r="G26" s="1"/>
      <x:c r="H26" s="1"/>
      <x:c r="I26" s="1"/>
      <x:c r="J26" s="1"/>
      <x:c r="K26" s="1"/>
      <x:c r="L26" s="1"/>
      <x:c r="M26" s="1"/>
      <x:c r="N26" s="1"/>
      <x:c r="O26" s="1"/>
      <x:c r="P26" s="1"/>
      <x:c r="Q26" s="1"/>
    </x:row>
    <x:row r="27">
      <x:c r="A27" s="1"/>
      <x:c r="B27" s="1"/>
      <x:c r="C27" s="1"/>
      <x:c r="D27" s="1"/>
      <x:c r="E27" s="1"/>
      <x:c r="F27" s="1"/>
      <x:c r="G27" s="1"/>
      <x:c r="H27" s="1"/>
      <x:c r="I27" s="1"/>
      <x:c r="J27" s="1"/>
      <x:c r="K27" s="1"/>
      <x:c r="L27" s="1"/>
      <x:c r="M27" s="1"/>
      <x:c r="N27" s="1"/>
      <x:c r="O27" s="1"/>
      <x:c r="P27" s="1"/>
      <x:c r="Q27" s="1"/>
    </x:row>
    <x:row r="28">
      <x:c r="A28" s="1"/>
      <x:c r="B28" s="1"/>
      <x:c r="C28" s="1"/>
      <x:c r="D28" s="1"/>
      <x:c r="E28" s="1"/>
      <x:c r="F28" s="1"/>
      <x:c r="G28" s="1"/>
      <x:c r="H28" s="1"/>
      <x:c r="I28" s="1"/>
      <x:c r="J28" s="1"/>
      <x:c r="K28" s="1"/>
      <x:c r="L28" s="1"/>
      <x:c r="M28" s="1"/>
      <x:c r="N28" s="1"/>
      <x:c r="O28" s="1"/>
      <x:c r="P28" s="1"/>
      <x:c r="Q28" s="1"/>
    </x:row>
    <x:row r="29">
      <x:c r="A29" s="1"/>
      <x:c r="B29" s="1"/>
      <x:c r="C29" s="1"/>
      <x:c r="D29" s="1"/>
      <x:c r="E29" s="1"/>
      <x:c r="F29" s="1"/>
      <x:c r="G29" s="1"/>
      <x:c r="H29" s="1"/>
      <x:c r="I29" s="1"/>
      <x:c r="J29" s="1"/>
      <x:c r="K29" s="1"/>
      <x:c r="L29" s="1"/>
      <x:c r="M29" s="1"/>
      <x:c r="N29" s="1"/>
      <x:c r="O29" s="1"/>
      <x:c r="P29" s="1"/>
      <x:c r="Q29" s="1"/>
    </x:row>
    <x:row r="30">
      <x:c r="A30" s="1"/>
      <x:c r="B30" s="1"/>
      <x:c r="C30" s="1"/>
      <x:c r="D30" s="1"/>
      <x:c r="E30" s="1"/>
      <x:c r="F30" s="1"/>
      <x:c r="G30" s="1"/>
      <x:c r="H30" s="1"/>
      <x:c r="I30" s="1"/>
      <x:c r="J30" s="1"/>
      <x:c r="K30" s="1"/>
      <x:c r="L30" s="1"/>
      <x:c r="M30" s="1"/>
      <x:c r="N30" s="1"/>
      <x:c r="O30" s="1"/>
      <x:c r="P30" s="1"/>
      <x:c r="Q30" s="1"/>
    </x:row>
    <x:row r="31">
      <x:c r="A31" s="1"/>
      <x:c r="B31" s="1"/>
      <x:c r="C31" s="1"/>
      <x:c r="D31" s="1"/>
      <x:c r="E31" s="1"/>
      <x:c r="F31" s="1"/>
      <x:c r="G31" s="1"/>
      <x:c r="H31" s="1"/>
      <x:c r="I31" s="1"/>
      <x:c r="J31" s="1"/>
      <x:c r="K31" s="1"/>
      <x:c r="L31" s="1"/>
      <x:c r="M31" s="1"/>
      <x:c r="N31" s="1"/>
      <x:c r="O31" s="1"/>
      <x:c r="P31" s="1"/>
      <x:c r="Q31" s="1"/>
    </x:row>
    <x:row r="32">
      <x:c r="A32" s="1"/>
      <x:c r="B32" s="1"/>
      <x:c r="C32" s="1"/>
      <x:c r="D32" s="1"/>
      <x:c r="E32" s="1"/>
      <x:c r="F32" s="1"/>
      <x:c r="G32" s="1"/>
      <x:c r="H32" s="1"/>
      <x:c r="I32" s="1"/>
      <x:c r="J32" s="1"/>
      <x:c r="K32" s="1"/>
      <x:c r="L32" s="1"/>
      <x:c r="M32" s="1"/>
      <x:c r="N32" s="1"/>
      <x:c r="O32" s="1"/>
      <x:c r="P32" s="1"/>
      <x:c r="Q32" s="1"/>
    </x:row>
    <x:row r="33">
      <x:c r="A33" s="1"/>
      <x:c r="B33" s="1"/>
      <x:c r="C33" s="1"/>
      <x:c r="D33" s="1"/>
      <x:c r="E33" s="1"/>
      <x:c r="F33" s="1"/>
      <x:c r="G33" s="1"/>
      <x:c r="H33" s="1"/>
      <x:c r="I33" s="1"/>
      <x:c r="J33" s="1"/>
      <x:c r="K33" s="1"/>
      <x:c r="L33" s="1"/>
      <x:c r="M33" s="1"/>
      <x:c r="N33" s="1"/>
      <x:c r="O33" s="1"/>
      <x:c r="P33" s="1"/>
      <x:c r="Q33" s="1"/>
    </x:row>
    <x:row r="34">
      <x:c r="A34" s="1"/>
      <x:c r="B34" s="1"/>
      <x:c r="C34" s="1"/>
      <x:c r="D34" s="1"/>
      <x:c r="E34" s="1"/>
      <x:c r="F34" s="1"/>
      <x:c r="G34" s="1"/>
      <x:c r="H34" s="1"/>
      <x:c r="I34" s="1"/>
      <x:c r="J34" s="1"/>
      <x:c r="K34" s="1"/>
      <x:c r="L34" s="1"/>
      <x:c r="M34" s="1"/>
      <x:c r="N34" s="1"/>
      <x:c r="O34" s="1"/>
      <x:c r="P34" s="1"/>
      <x:c r="Q34" s="1"/>
    </x:row>
    <x:row r="35">
      <x:c r="A35" s="1"/>
      <x:c r="B35" s="1"/>
      <x:c r="C35" s="1"/>
      <x:c r="D35" s="1"/>
      <x:c r="E35" s="1"/>
      <x:c r="F35" s="1"/>
      <x:c r="G35" s="1"/>
      <x:c r="H35" s="1"/>
      <x:c r="I35" s="1"/>
      <x:c r="J35" s="1"/>
      <x:c r="K35" s="1"/>
      <x:c r="L35" s="1"/>
      <x:c r="M35" s="1"/>
      <x:c r="N35" s="1"/>
      <x:c r="O35" s="1"/>
      <x:c r="P35" s="1"/>
      <x:c r="Q35" s="1"/>
    </x:row>
    <x:row r="36">
      <x:c r="A36" s="1"/>
      <x:c r="B36" s="1"/>
      <x:c r="C36" s="1"/>
      <x:c r="D36" s="1"/>
      <x:c r="E36" s="1"/>
      <x:c r="F36" s="1"/>
      <x:c r="G36" s="1"/>
      <x:c r="H36" s="1"/>
      <x:c r="I36" s="1"/>
      <x:c r="J36" s="1"/>
      <x:c r="K36" s="1"/>
      <x:c r="L36" s="1"/>
      <x:c r="M36" s="1"/>
      <x:c r="N36" s="1"/>
      <x:c r="O36" s="1"/>
      <x:c r="P36" s="1"/>
      <x:c r="Q36" s="1"/>
    </x:row>
    <x:row r="37">
      <x:c r="A37" s="1"/>
      <x:c r="B37" s="1"/>
      <x:c r="C37" s="1"/>
      <x:c r="D37" s="1"/>
      <x:c r="E37" s="1"/>
      <x:c r="F37" s="1"/>
      <x:c r="G37" s="1"/>
      <x:c r="H37" s="1"/>
      <x:c r="I37" s="1"/>
      <x:c r="J37" s="1"/>
      <x:c r="K37" s="1"/>
      <x:c r="L37" s="1"/>
      <x:c r="M37" s="1"/>
      <x:c r="N37" s="1"/>
      <x:c r="O37" s="1"/>
      <x:c r="P37" s="1"/>
      <x:c r="Q37" s="1"/>
    </x:row>
    <x:row r="38">
      <x:c r="A38" s="1"/>
      <x:c r="B38" s="1"/>
      <x:c r="C38" s="1"/>
      <x:c r="D38" s="1"/>
      <x:c r="E38" s="1"/>
      <x:c r="F38" s="1"/>
      <x:c r="G38" s="1"/>
      <x:c r="H38" s="1"/>
      <x:c r="I38" s="1"/>
      <x:c r="J38" s="1"/>
      <x:c r="K38" s="1"/>
      <x:c r="L38" s="1"/>
      <x:c r="M38" s="1"/>
      <x:c r="N38" s="1"/>
      <x:c r="O38" s="1"/>
      <x:c r="P38" s="1"/>
      <x:c r="Q38" s="1"/>
    </x:row>
    <x:row r="39">
      <x:c r="A39" s="1"/>
      <x:c r="B39" s="1"/>
      <x:c r="C39" s="1"/>
      <x:c r="D39" s="1"/>
      <x:c r="E39" s="1"/>
      <x:c r="F39" s="1"/>
      <x:c r="G39" s="1"/>
      <x:c r="H39" s="1"/>
      <x:c r="I39" s="1"/>
      <x:c r="J39" s="1"/>
      <x:c r="K39" s="1"/>
      <x:c r="L39" s="1"/>
      <x:c r="M39" s="1"/>
      <x:c r="N39" s="1"/>
      <x:c r="O39" s="1"/>
      <x:c r="P39" s="1"/>
      <x:c r="Q39" s="1"/>
    </x:row>
    <x:row r="40">
      <x:c r="A40" s="1"/>
      <x:c r="B40" s="1"/>
      <x:c r="C40" s="1"/>
      <x:c r="D40" s="1"/>
      <x:c r="E40" s="1"/>
      <x:c r="F40" s="1"/>
      <x:c r="G40" s="1"/>
      <x:c r="H40" s="1"/>
      <x:c r="I40" s="1"/>
      <x:c r="J40" s="1"/>
      <x:c r="K40" s="1"/>
      <x:c r="L40" s="1"/>
      <x:c r="M40" s="1"/>
      <x:c r="N40" s="1"/>
      <x:c r="O40" s="1"/>
      <x:c r="P40" s="1"/>
      <x:c r="Q40" s="1"/>
    </x:row>
    <x:row r="41">
      <x:c r="A41" s="1"/>
      <x:c r="B41" s="1"/>
      <x:c r="C41" s="1"/>
      <x:c r="D41" s="1"/>
      <x:c r="E41" s="1"/>
      <x:c r="F41" s="1"/>
      <x:c r="G41" s="1"/>
      <x:c r="H41" s="1"/>
      <x:c r="I41" s="1"/>
      <x:c r="J41" s="1"/>
      <x:c r="K41" s="1"/>
      <x:c r="L41" s="1"/>
      <x:c r="M41" s="1"/>
      <x:c r="N41" s="1"/>
      <x:c r="O41" s="1"/>
      <x:c r="P41" s="1"/>
      <x:c r="Q41" s="1"/>
    </x:row>
    <x:row r="42">
      <x:c r="A42" s="1"/>
      <x:c r="B42" s="1"/>
      <x:c r="C42" s="1"/>
      <x:c r="D42" s="1"/>
      <x:c r="E42" s="1"/>
      <x:c r="F42" s="1"/>
      <x:c r="G42" s="1"/>
      <x:c r="H42" s="1"/>
      <x:c r="I42" s="1"/>
      <x:c r="J42" s="1"/>
      <x:c r="K42" s="1"/>
      <x:c r="L42" s="1"/>
      <x:c r="M42" s="1"/>
      <x:c r="N42" s="1"/>
      <x:c r="O42" s="1"/>
      <x:c r="P42" s="1"/>
      <x:c r="Q42" s="1"/>
    </x:row>
    <x:row r="43">
      <x:c r="A43" s="1"/>
      <x:c r="B43" s="1"/>
      <x:c r="C43" s="1"/>
      <x:c r="D43" s="1"/>
      <x:c r="E43" s="1"/>
      <x:c r="F43" s="1"/>
      <x:c r="G43" s="1"/>
      <x:c r="H43" s="1"/>
      <x:c r="I43" s="1"/>
      <x:c r="J43" s="1"/>
      <x:c r="K43" s="1"/>
      <x:c r="L43" s="1"/>
      <x:c r="M43" s="1"/>
      <x:c r="N43" s="1"/>
      <x:c r="O43" s="1"/>
      <x:c r="P43" s="1"/>
      <x:c r="Q43" s="1"/>
    </x:row>
    <x:row r="44">
      <x:c r="A44" s="1"/>
      <x:c r="B44" s="1"/>
      <x:c r="C44" s="1"/>
      <x:c r="D44" s="1"/>
      <x:c r="E44" s="1"/>
      <x:c r="F44" s="1"/>
      <x:c r="G44" s="1"/>
      <x:c r="H44" s="1"/>
      <x:c r="I44" s="1"/>
      <x:c r="J44" s="1"/>
      <x:c r="K44" s="1"/>
      <x:c r="L44" s="1"/>
      <x:c r="M44" s="1"/>
      <x:c r="N44" s="1"/>
      <x:c r="O44" s="1"/>
      <x:c r="P44" s="1"/>
      <x:c r="Q44" s="1"/>
    </x:row>
    <x:row r="45">
      <x:c r="A45" s="1"/>
      <x:c r="B45" s="1"/>
      <x:c r="C45" s="1"/>
      <x:c r="D45" s="1"/>
      <x:c r="E45" s="1"/>
      <x:c r="F45" s="1"/>
      <x:c r="G45" s="1"/>
      <x:c r="H45" s="1"/>
      <x:c r="I45" s="1"/>
      <x:c r="J45" s="1"/>
      <x:c r="K45" s="1"/>
      <x:c r="L45" s="1"/>
      <x:c r="M45" s="1"/>
      <x:c r="N45" s="1"/>
      <x:c r="O45" s="1"/>
      <x:c r="P45" s="1"/>
      <x:c r="Q45" s="1"/>
    </x:row>
    <x:row r="46">
      <x:c r="A46" s="1"/>
      <x:c r="B46" s="1"/>
      <x:c r="C46" s="1"/>
      <x:c r="D46" s="1"/>
      <x:c r="E46" s="1"/>
      <x:c r="F46" s="1"/>
      <x:c r="G46" s="1"/>
      <x:c r="H46" s="1"/>
      <x:c r="I46" s="1"/>
      <x:c r="J46" s="1"/>
      <x:c r="K46" s="1"/>
      <x:c r="L46" s="1"/>
      <x:c r="M46" s="1"/>
      <x:c r="N46" s="1"/>
      <x:c r="O46" s="1"/>
      <x:c r="P46" s="1"/>
      <x:c r="Q46" s="1"/>
    </x:row>
    <x:row r="47">
      <x:c r="A47" s="1"/>
      <x:c r="B47" s="1"/>
      <x:c r="C47" s="1"/>
      <x:c r="D47" s="1"/>
      <x:c r="E47" s="1"/>
      <x:c r="F47" s="1"/>
      <x:c r="G47" s="1"/>
      <x:c r="H47" s="1"/>
      <x:c r="I47" s="1"/>
      <x:c r="J47" s="1"/>
      <x:c r="K47" s="1"/>
      <x:c r="L47" s="1"/>
      <x:c r="M47" s="1"/>
      <x:c r="N47" s="1"/>
      <x:c r="O47" s="1"/>
      <x:c r="P47" s="1"/>
      <x:c r="Q47" s="1"/>
    </x:row>
    <x:row r="48">
      <x:c r="A48" s="1"/>
      <x:c r="B48" s="1"/>
      <x:c r="C48" s="1"/>
      <x:c r="D48" s="1"/>
      <x:c r="E48" s="1"/>
      <x:c r="F48" s="1"/>
      <x:c r="G48" s="1"/>
      <x:c r="H48" s="1"/>
      <x:c r="I48" s="1"/>
      <x:c r="J48" s="1"/>
      <x:c r="K48" s="1"/>
      <x:c r="L48" s="1"/>
      <x:c r="M48" s="1"/>
      <x:c r="N48" s="1"/>
      <x:c r="O48" s="1"/>
      <x:c r="P48" s="1"/>
      <x:c r="Q48" s="1"/>
    </x:row>
    <x:row r="49">
      <x:c r="A49" s="1"/>
      <x:c r="B49" s="1"/>
      <x:c r="C49" s="1"/>
      <x:c r="D49" s="1"/>
      <x:c r="E49" s="1"/>
      <x:c r="F49" s="1"/>
      <x:c r="G49" s="1"/>
      <x:c r="H49" s="1"/>
      <x:c r="I49" s="1"/>
      <x:c r="J49" s="1"/>
      <x:c r="K49" s="1"/>
      <x:c r="L49" s="1"/>
      <x:c r="M49" s="1"/>
      <x:c r="N49" s="1"/>
      <x:c r="O49" s="1"/>
      <x:c r="P49" s="1"/>
      <x:c r="Q49" s="1"/>
    </x:row>
    <x:row r="50">
      <x:c r="A50" s="1"/>
      <x:c r="B50" s="1"/>
      <x:c r="C50" s="1"/>
      <x:c r="D50" s="1"/>
      <x:c r="E50" s="1"/>
      <x:c r="F50" s="1"/>
      <x:c r="G50" s="1"/>
      <x:c r="H50" s="1"/>
      <x:c r="I50" s="1"/>
      <x:c r="J50" s="1"/>
      <x:c r="K50" s="1"/>
      <x:c r="L50" s="1"/>
      <x:c r="M50" s="1"/>
      <x:c r="N50" s="1"/>
      <x:c r="O50" s="1"/>
      <x:c r="P50" s="1"/>
      <x:c r="Q50" s="1"/>
    </x:row>
    <x:row r="51">
      <x:c r="A51" s="1"/>
      <x:c r="B51" s="1"/>
      <x:c r="C51" s="1"/>
      <x:c r="D51" s="1"/>
      <x:c r="E51" s="1"/>
      <x:c r="F51" s="1"/>
      <x:c r="G51" s="1"/>
      <x:c r="H51" s="1"/>
      <x:c r="I51" s="1"/>
      <x:c r="J51" s="1"/>
      <x:c r="K51" s="1"/>
      <x:c r="L51" s="1"/>
      <x:c r="M51" s="1"/>
      <x:c r="N51" s="1"/>
      <x:c r="O51" s="1"/>
      <x:c r="P51" s="1"/>
      <x:c r="Q51" s="1"/>
    </x:row>
    <x:row r="52">
      <x:c r="A52" s="1"/>
      <x:c r="B52" s="1"/>
      <x:c r="C52" s="1"/>
      <x:c r="D52" s="1"/>
      <x:c r="E52" s="1"/>
      <x:c r="F52" s="1"/>
      <x:c r="G52" s="1"/>
      <x:c r="H52" s="1"/>
      <x:c r="I52" s="1"/>
      <x:c r="J52" s="1"/>
      <x:c r="K52" s="1"/>
      <x:c r="L52" s="1"/>
      <x:c r="M52" s="1"/>
      <x:c r="N52" s="1"/>
      <x:c r="O52" s="1"/>
      <x:c r="P52" s="1"/>
      <x:c r="Q52" s="1"/>
    </x:row>
    <x:row r="53">
      <x:c r="A53" s="1"/>
      <x:c r="B53" s="1"/>
      <x:c r="C53" s="1"/>
      <x:c r="D53" s="1"/>
      <x:c r="E53" s="1"/>
      <x:c r="F53" s="1"/>
      <x:c r="G53" s="1"/>
      <x:c r="H53" s="1"/>
      <x:c r="I53" s="1"/>
      <x:c r="J53" s="1"/>
      <x:c r="K53" s="1"/>
      <x:c r="L53" s="1"/>
      <x:c r="M53" s="1"/>
      <x:c r="N53" s="1"/>
      <x:c r="O53" s="1"/>
      <x:c r="P53" s="1"/>
      <x:c r="Q53" s="1"/>
    </x:row>
    <x:row r="54">
      <x:c r="A54" s="1"/>
      <x:c r="B54" s="1"/>
      <x:c r="C54" s="1"/>
      <x:c r="D54" s="1"/>
      <x:c r="E54" s="1"/>
      <x:c r="F54" s="1"/>
      <x:c r="G54" s="1"/>
      <x:c r="H54" s="1"/>
      <x:c r="I54" s="1"/>
      <x:c r="J54" s="1"/>
      <x:c r="K54" s="1"/>
      <x:c r="L54" s="1"/>
      <x:c r="M54" s="1"/>
      <x:c r="N54" s="1"/>
      <x:c r="O54" s="1"/>
      <x:c r="P54" s="1"/>
      <x:c r="Q54" s="1"/>
    </x:row>
    <x:row r="55">
      <x:c r="A55" s="1"/>
      <x:c r="B55" s="1"/>
      <x:c r="C55" s="1"/>
      <x:c r="D55" s="1"/>
      <x:c r="E55" s="1"/>
      <x:c r="F55" s="1"/>
      <x:c r="G55" s="1"/>
      <x:c r="H55" s="1"/>
      <x:c r="I55" s="1"/>
      <x:c r="J55" s="1"/>
      <x:c r="K55" s="1"/>
      <x:c r="L55" s="1"/>
      <x:c r="M55" s="1"/>
      <x:c r="N55" s="1"/>
      <x:c r="O55" s="1"/>
      <x:c r="P55" s="1"/>
      <x:c r="Q55" s="1"/>
    </x:row>
    <x:row r="56">
      <x:c r="A56" s="1"/>
      <x:c r="B56" s="1"/>
      <x:c r="C56" s="1"/>
      <x:c r="D56" s="1"/>
      <x:c r="E56" s="1"/>
      <x:c r="F56" s="1"/>
      <x:c r="G56" s="1"/>
      <x:c r="H56" s="1"/>
      <x:c r="I56" s="1"/>
      <x:c r="J56" s="1"/>
      <x:c r="K56" s="1"/>
      <x:c r="L56" s="1"/>
      <x:c r="M56" s="1"/>
      <x:c r="N56" s="1"/>
      <x:c r="O56" s="1"/>
      <x:c r="P56" s="1"/>
      <x:c r="Q56" s="1"/>
    </x:row>
    <x:row r="57">
      <x:c r="A57" s="1"/>
      <x:c r="B57" s="1"/>
      <x:c r="C57" s="1"/>
      <x:c r="D57" s="1"/>
      <x:c r="E57" s="1"/>
      <x:c r="F57" s="1"/>
      <x:c r="G57" s="1"/>
      <x:c r="H57" s="1"/>
      <x:c r="I57" s="1"/>
      <x:c r="J57" s="1"/>
      <x:c r="K57" s="1"/>
      <x:c r="L57" s="1"/>
      <x:c r="M57" s="1"/>
      <x:c r="N57" s="1"/>
      <x:c r="O57" s="1"/>
      <x:c r="P57" s="1"/>
      <x:c r="Q57" s="1"/>
    </x:row>
    <x:row r="58">
      <x:c r="A58" s="1"/>
      <x:c r="B58" s="1"/>
      <x:c r="C58" s="1"/>
      <x:c r="D58" s="1"/>
      <x:c r="E58" s="1"/>
      <x:c r="F58" s="1"/>
      <x:c r="G58" s="1"/>
      <x:c r="H58" s="1"/>
      <x:c r="I58" s="1"/>
      <x:c r="J58" s="1"/>
      <x:c r="K58" s="1"/>
      <x:c r="L58" s="1"/>
      <x:c r="M58" s="1"/>
      <x:c r="N58" s="1"/>
      <x:c r="O58" s="1"/>
      <x:c r="P58" s="1"/>
      <x:c r="Q58" s="1"/>
    </x:row>
    <x:row r="59">
      <x:c r="A59" s="1"/>
      <x:c r="B59" s="1"/>
      <x:c r="C59" s="1"/>
      <x:c r="D59" s="1"/>
      <x:c r="E59" s="1"/>
      <x:c r="F59" s="1"/>
      <x:c r="G59" s="1"/>
      <x:c r="H59" s="1"/>
      <x:c r="I59" s="1"/>
      <x:c r="J59" s="1"/>
      <x:c r="K59" s="1"/>
      <x:c r="L59" s="1"/>
      <x:c r="M59" s="1"/>
      <x:c r="N59" s="1"/>
      <x:c r="O59" s="1"/>
      <x:c r="P59" s="1"/>
      <x:c r="Q59" s="1"/>
    </x:row>
    <x:row r="60">
      <x:c r="A60" s="1"/>
      <x:c r="B60" s="1"/>
      <x:c r="C60" s="1"/>
      <x:c r="D60" s="1"/>
      <x:c r="E60" s="1"/>
      <x:c r="F60" s="1"/>
      <x:c r="G60" s="1"/>
      <x:c r="H60" s="1"/>
      <x:c r="I60" s="1"/>
      <x:c r="J60" s="1"/>
      <x:c r="K60" s="1"/>
      <x:c r="L60" s="1"/>
      <x:c r="M60" s="1"/>
      <x:c r="N60" s="1"/>
      <x:c r="O60" s="1"/>
      <x:c r="P60" s="1"/>
      <x:c r="Q60" s="1"/>
    </x:row>
    <x:row r="61">
      <x:c r="A61" s="1"/>
      <x:c r="B61" s="1"/>
      <x:c r="C61" s="1"/>
      <x:c r="D61" s="1"/>
      <x:c r="E61" s="1"/>
      <x:c r="F61" s="1"/>
      <x:c r="G61" s="1"/>
      <x:c r="H61" s="1"/>
      <x:c r="I61" s="1"/>
      <x:c r="J61" s="1"/>
      <x:c r="K61" s="1"/>
      <x:c r="L61" s="1"/>
      <x:c r="M61" s="1"/>
      <x:c r="N61" s="1"/>
      <x:c r="O61" s="1"/>
      <x:c r="P61" s="1"/>
      <x:c r="Q61" s="1"/>
    </x:row>
    <x:row r="62">
      <x:c r="A62" s="1"/>
      <x:c r="B62" s="1"/>
      <x:c r="C62" s="1"/>
      <x:c r="D62" s="1"/>
      <x:c r="E62" s="1"/>
      <x:c r="F62" s="1"/>
      <x:c r="G62" s="1"/>
      <x:c r="H62" s="1"/>
      <x:c r="I62" s="1"/>
      <x:c r="J62" s="1"/>
      <x:c r="K62" s="1"/>
      <x:c r="L62" s="1"/>
      <x:c r="M62" s="1"/>
      <x:c r="N62" s="1"/>
      <x:c r="O62" s="1"/>
      <x:c r="P62" s="1"/>
      <x:c r="Q62" s="1"/>
    </x:row>
    <x:row r="63">
      <x:c r="A63" s="1"/>
      <x:c r="B63" s="1"/>
      <x:c r="C63" s="1"/>
      <x:c r="D63" s="1"/>
      <x:c r="E63" s="1"/>
      <x:c r="F63" s="1"/>
      <x:c r="G63" s="1"/>
      <x:c r="H63" s="1"/>
      <x:c r="I63" s="1"/>
      <x:c r="J63" s="1"/>
      <x:c r="K63" s="1"/>
      <x:c r="L63" s="1"/>
      <x:c r="M63" s="1"/>
      <x:c r="N63" s="1"/>
      <x:c r="O63" s="1"/>
      <x:c r="P63" s="1"/>
      <x:c r="Q63" s="1"/>
    </x:row>
    <x:row r="64">
      <x:c r="A64" s="1"/>
      <x:c r="B64" s="1"/>
      <x:c r="C64" s="1"/>
      <x:c r="D64" s="1"/>
      <x:c r="E64" s="1"/>
      <x:c r="F64" s="1"/>
      <x:c r="G64" s="1"/>
      <x:c r="H64" s="1"/>
      <x:c r="I64" s="1"/>
      <x:c r="J64" s="1"/>
      <x:c r="K64" s="1"/>
      <x:c r="L64" s="1"/>
      <x:c r="M64" s="1"/>
      <x:c r="N64" s="1"/>
      <x:c r="O64" s="1"/>
      <x:c r="P64" s="1"/>
      <x:c r="Q64" s="1"/>
    </x:row>
    <x:row r="65">
      <x:c r="A65" s="1"/>
      <x:c r="B65" s="1"/>
      <x:c r="C65" s="1"/>
      <x:c r="D65" s="1"/>
      <x:c r="E65" s="1"/>
      <x:c r="F65" s="1"/>
      <x:c r="G65" s="1"/>
      <x:c r="H65" s="1"/>
      <x:c r="I65" s="1"/>
      <x:c r="J65" s="1"/>
      <x:c r="K65" s="1"/>
      <x:c r="L65" s="1"/>
      <x:c r="M65" s="1"/>
      <x:c r="N65" s="1"/>
      <x:c r="O65" s="1"/>
      <x:c r="P65" s="1"/>
      <x:c r="Q65" s="1"/>
    </x:row>
    <x:row r="66">
      <x:c r="A66" s="1"/>
      <x:c r="B66" s="1"/>
      <x:c r="C66" s="1"/>
      <x:c r="D66" s="1"/>
      <x:c r="E66" s="1"/>
      <x:c r="F66" s="1"/>
      <x:c r="G66" s="1"/>
      <x:c r="H66" s="1"/>
      <x:c r="I66" s="1"/>
      <x:c r="J66" s="1"/>
      <x:c r="K66" s="1"/>
      <x:c r="L66" s="1"/>
      <x:c r="M66" s="1"/>
      <x:c r="N66" s="1"/>
      <x:c r="O66" s="1"/>
      <x:c r="P66" s="1"/>
      <x:c r="Q66" s="1"/>
    </x:row>
    <x:row r="67">
      <x:c r="A67" s="1"/>
      <x:c r="B67" s="1"/>
      <x:c r="C67" s="1"/>
      <x:c r="D67" s="1"/>
      <x:c r="E67" s="1"/>
      <x:c r="F67" s="1"/>
      <x:c r="G67" s="1"/>
      <x:c r="H67" s="1"/>
      <x:c r="I67" s="1"/>
      <x:c r="J67" s="1"/>
      <x:c r="K67" s="1"/>
      <x:c r="L67" s="1"/>
      <x:c r="M67" s="1"/>
      <x:c r="N67" s="1"/>
      <x:c r="O67" s="1"/>
      <x:c r="P67" s="1"/>
      <x:c r="Q67" s="1"/>
    </x:row>
    <x:row r="68">
      <x:c r="A68" s="1"/>
      <x:c r="B68" s="1"/>
      <x:c r="C68" s="1"/>
      <x:c r="D68" s="1"/>
      <x:c r="E68" s="1"/>
      <x:c r="F68" s="1"/>
      <x:c r="G68" s="1"/>
      <x:c r="H68" s="1"/>
      <x:c r="I68" s="1"/>
      <x:c r="J68" s="1"/>
      <x:c r="K68" s="1"/>
      <x:c r="L68" s="1"/>
      <x:c r="M68" s="1"/>
      <x:c r="N68" s="1"/>
      <x:c r="O68" s="1"/>
      <x:c r="P68" s="1"/>
      <x:c r="Q68" s="1"/>
    </x:row>
    <x:row r="69">
      <x:c r="A69" s="1"/>
      <x:c r="B69" s="1"/>
      <x:c r="C69" s="1"/>
      <x:c r="D69" s="1"/>
      <x:c r="E69" s="1"/>
      <x:c r="F69" s="1"/>
      <x:c r="G69" s="1"/>
      <x:c r="H69" s="1"/>
      <x:c r="I69" s="1"/>
      <x:c r="J69" s="1"/>
      <x:c r="K69" s="1"/>
      <x:c r="L69" s="1"/>
      <x:c r="M69" s="1"/>
      <x:c r="N69" s="1"/>
      <x:c r="O69" s="1"/>
      <x:c r="P69" s="1"/>
      <x:c r="Q69" s="1"/>
    </x:row>
    <x:row r="70">
      <x:c r="A70" s="1"/>
      <x:c r="B70" s="1"/>
      <x:c r="C70" s="1"/>
      <x:c r="D70" s="1"/>
      <x:c r="E70" s="1"/>
      <x:c r="F70" s="1"/>
      <x:c r="G70" s="1"/>
      <x:c r="H70" s="1"/>
      <x:c r="I70" s="1"/>
      <x:c r="J70" s="1"/>
      <x:c r="K70" s="1"/>
      <x:c r="L70" s="1"/>
      <x:c r="M70" s="1"/>
      <x:c r="N70" s="1"/>
      <x:c r="O70" s="1"/>
      <x:c r="P70" s="1"/>
      <x:c r="Q70" s="1"/>
    </x:row>
    <x:row r="71">
      <x:c r="A71" s="1"/>
      <x:c r="B71" s="1"/>
      <x:c r="C71" s="1"/>
      <x:c r="D71" s="1"/>
      <x:c r="E71" s="1"/>
      <x:c r="F71" s="1"/>
      <x:c r="G71" s="1"/>
      <x:c r="H71" s="1"/>
      <x:c r="I71" s="1"/>
      <x:c r="J71" s="1"/>
      <x:c r="K71" s="1"/>
      <x:c r="L71" s="1"/>
      <x:c r="M71" s="1"/>
      <x:c r="N71" s="1"/>
      <x:c r="O71" s="1"/>
      <x:c r="P71" s="1"/>
      <x:c r="Q71" s="1"/>
    </x:row>
    <x:row r="72">
      <x:c r="A72" s="1"/>
      <x:c r="B72" s="1"/>
      <x:c r="C72" s="1"/>
      <x:c r="D72" s="1"/>
      <x:c r="E72" s="1"/>
      <x:c r="F72" s="1"/>
      <x:c r="G72" s="1"/>
      <x:c r="H72" s="1"/>
      <x:c r="I72" s="1"/>
      <x:c r="J72" s="1"/>
      <x:c r="K72" s="1"/>
      <x:c r="L72" s="1"/>
      <x:c r="M72" s="1"/>
      <x:c r="N72" s="1"/>
      <x:c r="O72" s="1"/>
      <x:c r="P72" s="1"/>
      <x:c r="Q72" s="1"/>
    </x:row>
    <x:row r="73">
      <x:c r="A73" s="1"/>
      <x:c r="B73" s="1"/>
      <x:c r="C73" s="1"/>
      <x:c r="D73" s="1"/>
      <x:c r="E73" s="1"/>
      <x:c r="F73" s="1"/>
      <x:c r="G73" s="1"/>
      <x:c r="H73" s="1"/>
      <x:c r="I73" s="1"/>
      <x:c r="J73" s="1"/>
      <x:c r="K73" s="1"/>
      <x:c r="L73" s="1"/>
      <x:c r="M73" s="1"/>
      <x:c r="N73" s="1"/>
      <x:c r="O73" s="1"/>
      <x:c r="P73" s="1"/>
      <x:c r="Q73" s="1"/>
    </x:row>
    <x:row r="74">
      <x:c r="A74" s="1"/>
      <x:c r="B74" s="1"/>
      <x:c r="C74" s="1"/>
      <x:c r="D74" s="1"/>
      <x:c r="E74" s="1"/>
      <x:c r="F74" s="1"/>
      <x:c r="G74" s="1"/>
      <x:c r="H74" s="1"/>
      <x:c r="I74" s="1"/>
      <x:c r="J74" s="1"/>
      <x:c r="K74" s="1"/>
      <x:c r="L74" s="1"/>
      <x:c r="M74" s="1"/>
      <x:c r="N74" s="1"/>
      <x:c r="O74" s="1"/>
      <x:c r="P74" s="1"/>
      <x:c r="Q74" s="1"/>
    </x:row>
    <x:row r="75">
      <x:c r="A75" s="1"/>
      <x:c r="B75" s="1"/>
      <x:c r="C75" s="1"/>
      <x:c r="D75" s="1"/>
      <x:c r="E75" s="1"/>
      <x:c r="F75" s="1"/>
      <x:c r="G75" s="1"/>
      <x:c r="H75" s="1"/>
      <x:c r="I75" s="1"/>
      <x:c r="J75" s="1"/>
      <x:c r="K75" s="1"/>
      <x:c r="L75" s="1"/>
      <x:c r="M75" s="1"/>
      <x:c r="N75" s="1"/>
      <x:c r="O75" s="1"/>
      <x:c r="P75" s="1"/>
      <x:c r="Q75" s="1"/>
    </x:row>
    <x:row r="76">
      <x:c r="A76" s="1"/>
      <x:c r="B76" s="1"/>
      <x:c r="C76" s="1"/>
      <x:c r="D76" s="1"/>
      <x:c r="E76" s="1"/>
      <x:c r="F76" s="1"/>
      <x:c r="G76" s="1"/>
      <x:c r="H76" s="1"/>
      <x:c r="I76" s="1"/>
      <x:c r="J76" s="1"/>
      <x:c r="K76" s="1"/>
      <x:c r="L76" s="1"/>
      <x:c r="M76" s="1"/>
      <x:c r="N76" s="1"/>
      <x:c r="O76" s="1"/>
      <x:c r="P76" s="1"/>
      <x:c r="Q76" s="1"/>
    </x:row>
    <x:row r="77">
      <x:c r="A77" s="1"/>
      <x:c r="B77" s="1"/>
      <x:c r="C77" s="1"/>
      <x:c r="D77" s="1"/>
      <x:c r="E77" s="1"/>
      <x:c r="F77" s="1"/>
      <x:c r="G77" s="1"/>
      <x:c r="H77" s="1"/>
      <x:c r="I77" s="1"/>
      <x:c r="J77" s="1"/>
      <x:c r="K77" s="1"/>
      <x:c r="L77" s="1"/>
      <x:c r="M77" s="1"/>
      <x:c r="N77" s="1"/>
      <x:c r="O77" s="1"/>
      <x:c r="P77" s="1"/>
      <x:c r="Q77" s="1"/>
    </x:row>
    <x:row r="78">
      <x:c r="A78" s="1"/>
      <x:c r="B78" s="1"/>
      <x:c r="C78" s="1"/>
      <x:c r="D78" s="1"/>
      <x:c r="E78" s="1"/>
      <x:c r="F78" s="1"/>
      <x:c r="G78" s="1"/>
      <x:c r="H78" s="1"/>
      <x:c r="I78" s="1"/>
      <x:c r="J78" s="1"/>
      <x:c r="K78" s="1"/>
      <x:c r="L78" s="1"/>
      <x:c r="M78" s="1"/>
      <x:c r="N78" s="1"/>
      <x:c r="O78" s="1"/>
      <x:c r="P78" s="1"/>
      <x:c r="Q78" s="1"/>
    </x:row>
    <x:row r="79">
      <x:c r="A79" s="1"/>
      <x:c r="B79" s="1"/>
      <x:c r="C79" s="1"/>
      <x:c r="D79" s="1"/>
      <x:c r="E79" s="1"/>
      <x:c r="F79" s="1"/>
      <x:c r="G79" s="1"/>
      <x:c r="H79" s="1"/>
      <x:c r="I79" s="1"/>
      <x:c r="J79" s="1"/>
      <x:c r="K79" s="1"/>
      <x:c r="L79" s="1"/>
      <x:c r="M79" s="1"/>
      <x:c r="N79" s="1"/>
      <x:c r="O79" s="1"/>
      <x:c r="P79" s="1"/>
      <x:c r="Q79" s="1"/>
    </x:row>
    <x:row r="80">
      <x:c r="A80" s="1"/>
      <x:c r="B80" s="1"/>
      <x:c r="C80" s="1"/>
      <x:c r="D80" s="1"/>
      <x:c r="E80" s="1"/>
      <x:c r="F80" s="1"/>
      <x:c r="G80" s="1"/>
      <x:c r="H80" s="1"/>
      <x:c r="I80" s="1"/>
      <x:c r="J80" s="1"/>
      <x:c r="K80" s="1"/>
      <x:c r="L80" s="1"/>
      <x:c r="M80" s="1"/>
      <x:c r="N80" s="1"/>
      <x:c r="O80" s="1"/>
      <x:c r="P80" s="1"/>
      <x:c r="Q80" s="1"/>
    </x:row>
  </x:sheetData>
  <x:mergeCells>
    <x:mergeCell ref="A2:I2"/>
    <x:mergeCell ref="A4:I4"/>
  </x:mergeCells>
  <x:pageMargins left="0.7" right="0.7" top="0.75" bottom="0.75" header="0.3" footer="0.3"/>
  <x:tableParts count="1">
    <x:tablePart xmlns:r="http://schemas.openxmlformats.org/officeDocument/2006/relationships" r:id="Raa669f72106640fd"/>
  </x:tableParts>
</x:worksheet>
</file>